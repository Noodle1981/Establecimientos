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80" yWindow="600" windowWidth="15612" windowHeight="5244"/>
  </bookViews>
  <sheets>
    <sheet name="tabla_edificios_radios" sheetId="1" r:id="rId1"/>
  </sheets>
  <definedNames>
    <definedName name="_xlnm._FilterDatabase" localSheetId="0" hidden="1">tabla_edificios_radios!$A$1:$I$440</definedName>
  </definedNames>
  <calcPr calcId="124519"/>
  <extLst>
    <ext uri="GoogleSheetsCustomDataVersion2">
      <go:sheetsCustomData xmlns:go="http://customooxmlschemas.google.com/" r:id="rId7" roundtripDataChecksum="eU2YoQdwJkS2cvb/PxdB5ZERlhMTtF+fCD0TJIS6vcw="/>
    </ext>
  </extLst>
</workbook>
</file>

<file path=xl/calcChain.xml><?xml version="1.0" encoding="utf-8"?>
<calcChain xmlns="http://schemas.openxmlformats.org/spreadsheetml/2006/main">
  <c r="G440" i="1"/>
  <c r="E440"/>
  <c r="G439"/>
  <c r="E439"/>
  <c r="G438"/>
  <c r="E438"/>
  <c r="G437"/>
  <c r="E437"/>
  <c r="G436"/>
  <c r="E436"/>
  <c r="G435"/>
  <c r="E435"/>
  <c r="G434"/>
  <c r="I434" s="1"/>
  <c r="E434"/>
  <c r="G433"/>
  <c r="E433"/>
  <c r="G432"/>
  <c r="E432"/>
  <c r="G431"/>
  <c r="E431"/>
  <c r="I430"/>
  <c r="G430"/>
  <c r="E430"/>
  <c r="G429"/>
  <c r="E429"/>
  <c r="G428"/>
  <c r="E428"/>
  <c r="G427"/>
  <c r="E427"/>
  <c r="G426"/>
  <c r="E426"/>
  <c r="G425"/>
  <c r="E425"/>
  <c r="G424"/>
  <c r="E424"/>
  <c r="G423"/>
  <c r="E423"/>
  <c r="G422"/>
  <c r="E422"/>
  <c r="G421"/>
  <c r="E421"/>
  <c r="G420"/>
  <c r="E420"/>
  <c r="G419"/>
  <c r="E419"/>
  <c r="G418"/>
  <c r="E418"/>
  <c r="G417"/>
  <c r="E417"/>
  <c r="G416"/>
  <c r="E416"/>
  <c r="G415"/>
  <c r="E415"/>
  <c r="G414"/>
  <c r="E414"/>
  <c r="G413"/>
  <c r="E413"/>
  <c r="G412"/>
  <c r="E412"/>
  <c r="G411"/>
  <c r="E411"/>
  <c r="G410"/>
  <c r="E410"/>
  <c r="G409"/>
  <c r="E409"/>
  <c r="G408"/>
  <c r="E408"/>
  <c r="G407"/>
  <c r="E407"/>
  <c r="G406"/>
  <c r="E406"/>
  <c r="G405"/>
  <c r="E405"/>
  <c r="G404"/>
  <c r="E404"/>
  <c r="G403"/>
  <c r="E403"/>
  <c r="I403" s="1"/>
  <c r="G402"/>
  <c r="E402"/>
  <c r="G401"/>
  <c r="E401"/>
  <c r="G400"/>
  <c r="E400"/>
  <c r="G399"/>
  <c r="E399"/>
  <c r="G398"/>
  <c r="E398"/>
  <c r="G397"/>
  <c r="E397"/>
  <c r="G396"/>
  <c r="E396"/>
  <c r="G395"/>
  <c r="E395"/>
  <c r="G394"/>
  <c r="E394"/>
  <c r="G393"/>
  <c r="E393"/>
  <c r="G392"/>
  <c r="E392"/>
  <c r="G391"/>
  <c r="E391"/>
  <c r="G390"/>
  <c r="E390"/>
  <c r="G389"/>
  <c r="E389"/>
  <c r="G388"/>
  <c r="E388"/>
  <c r="G387"/>
  <c r="E387"/>
  <c r="G386"/>
  <c r="E386"/>
  <c r="G385"/>
  <c r="E385"/>
  <c r="G384"/>
  <c r="E384"/>
  <c r="G383"/>
  <c r="E383"/>
  <c r="G382"/>
  <c r="E382"/>
  <c r="G381"/>
  <c r="E381"/>
  <c r="G380"/>
  <c r="E380"/>
  <c r="G379"/>
  <c r="E379"/>
  <c r="G378"/>
  <c r="E378"/>
  <c r="G377"/>
  <c r="E377"/>
  <c r="G376"/>
  <c r="E376"/>
  <c r="G375"/>
  <c r="E375"/>
  <c r="I374"/>
  <c r="G374"/>
  <c r="E374"/>
  <c r="G373"/>
  <c r="E373"/>
  <c r="G372"/>
  <c r="E372"/>
  <c r="G371"/>
  <c r="E371"/>
  <c r="G370"/>
  <c r="E370"/>
  <c r="G369"/>
  <c r="E369"/>
  <c r="G368"/>
  <c r="E368"/>
  <c r="G367"/>
  <c r="E367"/>
  <c r="G366"/>
  <c r="E366"/>
  <c r="G365"/>
  <c r="E365"/>
  <c r="G364"/>
  <c r="E364"/>
  <c r="G363"/>
  <c r="E363"/>
  <c r="G362"/>
  <c r="E362"/>
  <c r="G361"/>
  <c r="E361"/>
  <c r="G360"/>
  <c r="E360"/>
  <c r="G359"/>
  <c r="E359"/>
  <c r="G358"/>
  <c r="E358"/>
  <c r="G357"/>
  <c r="E357"/>
  <c r="G356"/>
  <c r="E356"/>
  <c r="G355"/>
  <c r="E355"/>
  <c r="G354"/>
  <c r="E354"/>
  <c r="G353"/>
  <c r="E353"/>
  <c r="G352"/>
  <c r="E352"/>
  <c r="G351"/>
  <c r="E351"/>
  <c r="G350"/>
  <c r="E350"/>
  <c r="G349"/>
  <c r="E349"/>
  <c r="G348"/>
  <c r="E348"/>
  <c r="G347"/>
  <c r="E347"/>
  <c r="G346"/>
  <c r="E346"/>
  <c r="G345"/>
  <c r="E345"/>
  <c r="G344"/>
  <c r="E344"/>
  <c r="G343"/>
  <c r="E343"/>
  <c r="G342"/>
  <c r="E342"/>
  <c r="G341"/>
  <c r="E341"/>
  <c r="G340"/>
  <c r="E340"/>
  <c r="G339"/>
  <c r="E339"/>
  <c r="G338"/>
  <c r="E338"/>
  <c r="G337"/>
  <c r="E337"/>
  <c r="G336"/>
  <c r="E336"/>
  <c r="G335"/>
  <c r="E335"/>
  <c r="G334"/>
  <c r="E334"/>
  <c r="G333"/>
  <c r="E333"/>
  <c r="G332"/>
  <c r="E332"/>
  <c r="G331"/>
  <c r="E331"/>
  <c r="G330"/>
  <c r="E330"/>
  <c r="G329"/>
  <c r="E329"/>
  <c r="G328"/>
  <c r="E328"/>
  <c r="G327"/>
  <c r="I327" s="1"/>
  <c r="E327"/>
  <c r="G326"/>
  <c r="E326"/>
  <c r="G325"/>
  <c r="E325"/>
  <c r="G324"/>
  <c r="E324"/>
  <c r="G323"/>
  <c r="E323"/>
  <c r="G322"/>
  <c r="E322"/>
  <c r="G321"/>
  <c r="E321"/>
  <c r="G320"/>
  <c r="E320"/>
  <c r="G319"/>
  <c r="E319"/>
  <c r="G318"/>
  <c r="E318"/>
  <c r="G317"/>
  <c r="E317"/>
  <c r="G316"/>
  <c r="E316"/>
  <c r="G315"/>
  <c r="E315"/>
  <c r="G314"/>
  <c r="E314"/>
  <c r="G313"/>
  <c r="E313"/>
  <c r="G312"/>
  <c r="E312"/>
  <c r="G311"/>
  <c r="E311"/>
  <c r="G310"/>
  <c r="E310"/>
  <c r="G309"/>
  <c r="E309"/>
  <c r="G308"/>
  <c r="E308"/>
  <c r="G307"/>
  <c r="E307"/>
  <c r="G306"/>
  <c r="E306"/>
  <c r="G305"/>
  <c r="E305"/>
  <c r="G304"/>
  <c r="E304"/>
  <c r="G303"/>
  <c r="E303"/>
  <c r="G302"/>
  <c r="E302"/>
  <c r="G301"/>
  <c r="E301"/>
  <c r="G300"/>
  <c r="E300"/>
  <c r="G299"/>
  <c r="E299"/>
  <c r="G298"/>
  <c r="E298"/>
  <c r="G297"/>
  <c r="E297"/>
  <c r="G296"/>
  <c r="E296"/>
  <c r="G295"/>
  <c r="E295"/>
  <c r="G294"/>
  <c r="E294"/>
  <c r="G293"/>
  <c r="E293"/>
  <c r="G292"/>
  <c r="E292"/>
  <c r="G291"/>
  <c r="E291"/>
  <c r="G290"/>
  <c r="E290"/>
  <c r="G289"/>
  <c r="E289"/>
  <c r="G288"/>
  <c r="E288"/>
  <c r="G287"/>
  <c r="E287"/>
  <c r="G286"/>
  <c r="E286"/>
  <c r="G285"/>
  <c r="E285"/>
  <c r="G284"/>
  <c r="E284"/>
  <c r="G283"/>
  <c r="E283"/>
  <c r="G282"/>
  <c r="E282"/>
  <c r="G281"/>
  <c r="E281"/>
  <c r="G280"/>
  <c r="E280"/>
  <c r="G279"/>
  <c r="E279"/>
  <c r="G278"/>
  <c r="E278"/>
  <c r="G277"/>
  <c r="E277"/>
  <c r="G276"/>
  <c r="E276"/>
  <c r="G275"/>
  <c r="E275"/>
  <c r="G274"/>
  <c r="I274" s="1"/>
  <c r="E274"/>
  <c r="G273"/>
  <c r="E273"/>
  <c r="G272"/>
  <c r="E272"/>
  <c r="G271"/>
  <c r="E271"/>
  <c r="G270"/>
  <c r="E270"/>
  <c r="G269"/>
  <c r="E269"/>
  <c r="G268"/>
  <c r="E268"/>
  <c r="G267"/>
  <c r="E267"/>
  <c r="G266"/>
  <c r="E266"/>
  <c r="G265"/>
  <c r="E265"/>
  <c r="G264"/>
  <c r="E264"/>
  <c r="G263"/>
  <c r="E263"/>
  <c r="G262"/>
  <c r="E262"/>
  <c r="G261"/>
  <c r="E261"/>
  <c r="G260"/>
  <c r="E260"/>
  <c r="G259"/>
  <c r="E259"/>
  <c r="G258"/>
  <c r="E258"/>
  <c r="G257"/>
  <c r="E257"/>
  <c r="G256"/>
  <c r="E256"/>
  <c r="G255"/>
  <c r="E255"/>
  <c r="G254"/>
  <c r="E254"/>
  <c r="G253"/>
  <c r="E253"/>
  <c r="G252"/>
  <c r="E252"/>
  <c r="G251"/>
  <c r="E251"/>
  <c r="G250"/>
  <c r="E250"/>
  <c r="G249"/>
  <c r="E249"/>
  <c r="G248"/>
  <c r="E248"/>
  <c r="G247"/>
  <c r="E247"/>
  <c r="G246"/>
  <c r="E246"/>
  <c r="G245"/>
  <c r="E245"/>
  <c r="G244"/>
  <c r="E244"/>
  <c r="G243"/>
  <c r="E243"/>
  <c r="G242"/>
  <c r="E242"/>
  <c r="G241"/>
  <c r="E241"/>
  <c r="G240"/>
  <c r="E240"/>
  <c r="G239"/>
  <c r="E239"/>
  <c r="G238"/>
  <c r="E238"/>
  <c r="G237"/>
  <c r="E237"/>
  <c r="G236"/>
  <c r="E236"/>
  <c r="G235"/>
  <c r="E235"/>
  <c r="G234"/>
  <c r="E234"/>
  <c r="G233"/>
  <c r="E233"/>
  <c r="G232"/>
  <c r="E232"/>
  <c r="G231"/>
  <c r="E231"/>
  <c r="G230"/>
  <c r="E230"/>
  <c r="I229"/>
  <c r="G229"/>
  <c r="E229"/>
  <c r="G228"/>
  <c r="E228"/>
  <c r="G227"/>
  <c r="E227"/>
  <c r="G226"/>
  <c r="E226"/>
  <c r="G225"/>
  <c r="E225"/>
  <c r="G224"/>
  <c r="E224"/>
  <c r="G223"/>
  <c r="E223"/>
  <c r="G222"/>
  <c r="E222"/>
  <c r="G221"/>
  <c r="E221"/>
  <c r="G220"/>
  <c r="E220"/>
  <c r="G219"/>
  <c r="E219"/>
  <c r="G218"/>
  <c r="E218"/>
  <c r="G217"/>
  <c r="E217"/>
  <c r="G216"/>
  <c r="E216"/>
  <c r="G215"/>
  <c r="E215"/>
  <c r="G214"/>
  <c r="E214"/>
  <c r="G213"/>
  <c r="E213"/>
  <c r="G212"/>
  <c r="E212"/>
  <c r="G211"/>
  <c r="E211"/>
  <c r="G210"/>
  <c r="E210"/>
  <c r="G209"/>
  <c r="E209"/>
  <c r="G208"/>
  <c r="E208"/>
  <c r="I208" s="1"/>
  <c r="G207"/>
  <c r="E207"/>
  <c r="G206"/>
  <c r="E206"/>
  <c r="G205"/>
  <c r="E205"/>
  <c r="G204"/>
  <c r="I204" s="1"/>
  <c r="E204"/>
  <c r="G203"/>
  <c r="E203"/>
  <c r="G202"/>
  <c r="E202"/>
  <c r="G201"/>
  <c r="E201"/>
  <c r="G200"/>
  <c r="E200"/>
  <c r="G199"/>
  <c r="E199"/>
  <c r="G198"/>
  <c r="E198"/>
  <c r="G197"/>
  <c r="E197"/>
  <c r="G196"/>
  <c r="E196"/>
  <c r="G195"/>
  <c r="E195"/>
  <c r="G194"/>
  <c r="E194"/>
  <c r="G193"/>
  <c r="E193"/>
  <c r="G192"/>
  <c r="E192"/>
  <c r="G191"/>
  <c r="E191"/>
  <c r="G190"/>
  <c r="E190"/>
  <c r="G189"/>
  <c r="E189"/>
  <c r="G188"/>
  <c r="I188" s="1"/>
  <c r="E188"/>
  <c r="G187"/>
  <c r="E187"/>
  <c r="G186"/>
  <c r="E186"/>
  <c r="G185"/>
  <c r="E185"/>
  <c r="G184"/>
  <c r="E184"/>
  <c r="G183"/>
  <c r="E183"/>
  <c r="G182"/>
  <c r="E182"/>
  <c r="G181"/>
  <c r="E181"/>
  <c r="G180"/>
  <c r="E180"/>
  <c r="G179"/>
  <c r="E179"/>
  <c r="G178"/>
  <c r="E178"/>
  <c r="G177"/>
  <c r="E177"/>
  <c r="G176"/>
  <c r="E176"/>
  <c r="G175"/>
  <c r="E175"/>
  <c r="G174"/>
  <c r="E174"/>
  <c r="G173"/>
  <c r="E173"/>
  <c r="G172"/>
  <c r="I172" s="1"/>
  <c r="E172"/>
  <c r="G171"/>
  <c r="E171"/>
  <c r="G170"/>
  <c r="E170"/>
  <c r="G169"/>
  <c r="E169"/>
  <c r="G168"/>
  <c r="E168"/>
  <c r="G167"/>
  <c r="E167"/>
  <c r="G166"/>
  <c r="E166"/>
  <c r="G165"/>
  <c r="E165"/>
  <c r="G164"/>
  <c r="E164"/>
  <c r="G163"/>
  <c r="E163"/>
  <c r="G162"/>
  <c r="E162"/>
  <c r="G161"/>
  <c r="E161"/>
  <c r="G160"/>
  <c r="E160"/>
  <c r="G159"/>
  <c r="E159"/>
  <c r="G158"/>
  <c r="E158"/>
  <c r="G157"/>
  <c r="E157"/>
  <c r="G156"/>
  <c r="E156"/>
  <c r="G155"/>
  <c r="E155"/>
  <c r="G154"/>
  <c r="E154"/>
  <c r="G153"/>
  <c r="E153"/>
  <c r="G152"/>
  <c r="E152"/>
  <c r="G151"/>
  <c r="E151"/>
  <c r="G150"/>
  <c r="E150"/>
  <c r="G149"/>
  <c r="E149"/>
  <c r="G148"/>
  <c r="E148"/>
  <c r="G147"/>
  <c r="E147"/>
  <c r="G146"/>
  <c r="E146"/>
  <c r="G145"/>
  <c r="E145"/>
  <c r="G144"/>
  <c r="E144"/>
  <c r="G143"/>
  <c r="E143"/>
  <c r="G142"/>
  <c r="E142"/>
  <c r="G141"/>
  <c r="E141"/>
  <c r="G140"/>
  <c r="E140"/>
  <c r="G139"/>
  <c r="E139"/>
  <c r="G138"/>
  <c r="E138"/>
  <c r="G137"/>
  <c r="E137"/>
  <c r="G136"/>
  <c r="E136"/>
  <c r="G135"/>
  <c r="E135"/>
  <c r="G134"/>
  <c r="E134"/>
  <c r="G133"/>
  <c r="E133"/>
  <c r="G132"/>
  <c r="E132"/>
  <c r="G131"/>
  <c r="E131"/>
  <c r="G130"/>
  <c r="E130"/>
  <c r="G129"/>
  <c r="E129"/>
  <c r="G128"/>
  <c r="E128"/>
  <c r="G127"/>
  <c r="E127"/>
  <c r="G126"/>
  <c r="E126"/>
  <c r="G125"/>
  <c r="E125"/>
  <c r="G124"/>
  <c r="E124"/>
  <c r="G123"/>
  <c r="E123"/>
  <c r="G122"/>
  <c r="E122"/>
  <c r="G121"/>
  <c r="E121"/>
  <c r="G120"/>
  <c r="E120"/>
  <c r="G119"/>
  <c r="E119"/>
  <c r="G118"/>
  <c r="E118"/>
  <c r="G117"/>
  <c r="E117"/>
  <c r="G116"/>
  <c r="E116"/>
  <c r="G115"/>
  <c r="E115"/>
  <c r="I114"/>
  <c r="G113"/>
  <c r="E113"/>
  <c r="G112"/>
  <c r="E112"/>
  <c r="G111"/>
  <c r="E111"/>
  <c r="G110"/>
  <c r="E110"/>
  <c r="G109"/>
  <c r="E109"/>
  <c r="G108"/>
  <c r="E108"/>
  <c r="G107"/>
  <c r="E107"/>
  <c r="G106"/>
  <c r="E106"/>
  <c r="G105"/>
  <c r="E105"/>
  <c r="G104"/>
  <c r="E104"/>
  <c r="G103"/>
  <c r="E103"/>
  <c r="G102"/>
  <c r="E102"/>
  <c r="G101"/>
  <c r="E101"/>
  <c r="G100"/>
  <c r="E100"/>
  <c r="G99"/>
  <c r="E99"/>
  <c r="G98"/>
  <c r="E98"/>
  <c r="G97"/>
  <c r="E97"/>
  <c r="G96"/>
  <c r="E96"/>
  <c r="G95"/>
  <c r="E95"/>
  <c r="G94"/>
  <c r="E94"/>
  <c r="G93"/>
  <c r="E93"/>
  <c r="G92"/>
  <c r="E92"/>
  <c r="G91"/>
  <c r="E91"/>
  <c r="G90"/>
  <c r="E90"/>
  <c r="G89"/>
  <c r="E89"/>
  <c r="G88"/>
  <c r="E88"/>
  <c r="G87"/>
  <c r="E87"/>
  <c r="G86"/>
  <c r="E86"/>
  <c r="G85"/>
  <c r="E85"/>
  <c r="G84"/>
  <c r="E84"/>
  <c r="G83"/>
  <c r="E83"/>
  <c r="G82"/>
  <c r="E82"/>
  <c r="G80"/>
  <c r="E80"/>
  <c r="G79"/>
  <c r="E79"/>
  <c r="G78"/>
  <c r="E78"/>
  <c r="G77"/>
  <c r="E77"/>
  <c r="G76"/>
  <c r="E76"/>
  <c r="G75"/>
  <c r="E75"/>
  <c r="G74"/>
  <c r="E74"/>
  <c r="G73"/>
  <c r="E73"/>
  <c r="G72"/>
  <c r="E72"/>
  <c r="G71"/>
  <c r="E71"/>
  <c r="G70"/>
  <c r="E70"/>
  <c r="G69"/>
  <c r="E69"/>
  <c r="G68"/>
  <c r="E68"/>
  <c r="G67"/>
  <c r="E67"/>
  <c r="G66"/>
  <c r="E66"/>
  <c r="G65"/>
  <c r="E65"/>
  <c r="G64"/>
  <c r="E64"/>
  <c r="G63"/>
  <c r="E63"/>
  <c r="G62"/>
  <c r="E62"/>
  <c r="G61"/>
  <c r="E61"/>
  <c r="G60"/>
  <c r="E60"/>
  <c r="G59"/>
  <c r="E59"/>
  <c r="G58"/>
  <c r="E58"/>
  <c r="G57"/>
  <c r="E57"/>
  <c r="G56"/>
  <c r="E56"/>
  <c r="G55"/>
  <c r="E55"/>
  <c r="G54"/>
  <c r="E54"/>
  <c r="G53"/>
  <c r="E53"/>
  <c r="G52"/>
  <c r="E52"/>
  <c r="G51"/>
  <c r="E51"/>
  <c r="G50"/>
  <c r="E50"/>
  <c r="G49"/>
  <c r="E49"/>
  <c r="G48"/>
  <c r="E48"/>
  <c r="G47"/>
  <c r="E47"/>
  <c r="G46"/>
  <c r="E46"/>
  <c r="G45"/>
  <c r="E45"/>
  <c r="G44"/>
  <c r="E44"/>
  <c r="G43"/>
  <c r="E43"/>
  <c r="G42"/>
  <c r="E42"/>
  <c r="G41"/>
  <c r="E41"/>
  <c r="G40"/>
  <c r="E40"/>
  <c r="G38"/>
  <c r="E38"/>
  <c r="G37"/>
  <c r="E37"/>
  <c r="G36"/>
  <c r="E36"/>
  <c r="G35"/>
  <c r="E35"/>
  <c r="G34"/>
  <c r="E34"/>
  <c r="G33"/>
  <c r="E33"/>
  <c r="G32"/>
  <c r="E32"/>
  <c r="G31"/>
  <c r="E31"/>
  <c r="G30"/>
  <c r="E30"/>
  <c r="G29"/>
  <c r="E29"/>
  <c r="G28"/>
  <c r="E28"/>
  <c r="G27"/>
  <c r="E27"/>
  <c r="G26"/>
  <c r="E26"/>
  <c r="G25"/>
  <c r="E25"/>
  <c r="G24"/>
  <c r="E24"/>
  <c r="G23"/>
  <c r="E23"/>
  <c r="E22"/>
  <c r="I22" s="1"/>
  <c r="G21"/>
  <c r="E21"/>
  <c r="G20"/>
  <c r="E20"/>
  <c r="G19"/>
  <c r="E19"/>
  <c r="G18"/>
  <c r="E18"/>
  <c r="G17"/>
  <c r="E17"/>
  <c r="G16"/>
  <c r="E16"/>
  <c r="G15"/>
  <c r="E15"/>
  <c r="G14"/>
  <c r="E14"/>
  <c r="G13"/>
  <c r="E13"/>
  <c r="G12"/>
  <c r="E12"/>
  <c r="G10"/>
  <c r="E10"/>
  <c r="G9"/>
  <c r="E9"/>
  <c r="G8"/>
  <c r="E8"/>
  <c r="G7"/>
  <c r="E7"/>
  <c r="G6"/>
  <c r="E6"/>
  <c r="G5"/>
  <c r="E5"/>
  <c r="G4"/>
  <c r="E4"/>
  <c r="G3"/>
  <c r="E3"/>
  <c r="G2"/>
  <c r="E2"/>
  <c r="I107" l="1"/>
  <c r="I304"/>
  <c r="I427"/>
  <c r="I100"/>
  <c r="I416"/>
  <c r="I423"/>
  <c r="I306"/>
  <c r="I322"/>
  <c r="I370"/>
  <c r="I58"/>
  <c r="I47"/>
  <c r="I78"/>
  <c r="I407"/>
  <c r="I422"/>
  <c r="I63"/>
  <c r="I30"/>
  <c r="I404"/>
  <c r="I419"/>
  <c r="I433"/>
  <c r="I142"/>
  <c r="I149"/>
  <c r="I276"/>
  <c r="I23"/>
  <c r="I15"/>
  <c r="I222"/>
  <c r="I237"/>
  <c r="I102"/>
  <c r="I347"/>
  <c r="I355"/>
  <c r="I193"/>
  <c r="I295"/>
  <c r="I209"/>
  <c r="I310"/>
  <c r="I25"/>
  <c r="I6"/>
  <c r="I170"/>
  <c r="I202"/>
  <c r="I264"/>
  <c r="I117"/>
  <c r="I29"/>
  <c r="I59"/>
  <c r="I129"/>
  <c r="I79"/>
  <c r="I371"/>
  <c r="I51"/>
  <c r="I2"/>
  <c r="I213"/>
  <c r="I241"/>
  <c r="I257"/>
  <c r="I343"/>
  <c r="I44"/>
  <c r="I402"/>
  <c r="I26"/>
  <c r="I221"/>
  <c r="I275"/>
  <c r="I160"/>
  <c r="I144"/>
  <c r="I336"/>
  <c r="I14"/>
  <c r="I191"/>
  <c r="I388"/>
  <c r="I34"/>
  <c r="I43"/>
  <c r="I250"/>
  <c r="I42"/>
  <c r="I72"/>
  <c r="I158"/>
  <c r="I234"/>
  <c r="I265"/>
  <c r="I395"/>
  <c r="I103"/>
  <c r="I256"/>
  <c r="I294"/>
  <c r="I323"/>
  <c r="I292"/>
  <c r="I261"/>
  <c r="I161"/>
  <c r="I268"/>
  <c r="I283"/>
  <c r="I359"/>
  <c r="I390"/>
  <c r="I16"/>
  <c r="I339"/>
  <c r="I429"/>
  <c r="I315"/>
  <c r="I154"/>
  <c r="I375"/>
  <c r="I122"/>
  <c r="I138"/>
  <c r="I236"/>
  <c r="I290"/>
  <c r="I173"/>
  <c r="I272"/>
  <c r="I126"/>
  <c r="I225"/>
  <c r="I133"/>
  <c r="I324"/>
  <c r="I254"/>
  <c r="I307"/>
  <c r="I368"/>
  <c r="I19"/>
  <c r="I176"/>
  <c r="I411"/>
  <c r="I56"/>
  <c r="I278"/>
  <c r="I308"/>
  <c r="I418"/>
  <c r="I12"/>
  <c r="I27"/>
  <c r="I184"/>
  <c r="I263"/>
  <c r="I352"/>
  <c r="I190"/>
  <c r="I205"/>
  <c r="I233"/>
  <c r="I240"/>
  <c r="I358"/>
  <c r="I62"/>
  <c r="I174"/>
  <c r="I76"/>
  <c r="I84"/>
  <c r="I181"/>
  <c r="I189"/>
  <c r="I365"/>
  <c r="I372"/>
  <c r="I379"/>
  <c r="I387"/>
  <c r="I342"/>
  <c r="I231"/>
  <c r="I356"/>
  <c r="I400"/>
  <c r="I245"/>
  <c r="I406"/>
  <c r="I97"/>
  <c r="I391"/>
  <c r="I111"/>
  <c r="I141"/>
  <c r="I354"/>
  <c r="I106"/>
  <c r="I67"/>
  <c r="I224"/>
  <c r="I238"/>
  <c r="I128"/>
  <c r="I267"/>
  <c r="I363"/>
  <c r="I89"/>
  <c r="I104"/>
  <c r="I288"/>
  <c r="I384"/>
  <c r="I140"/>
  <c r="I55"/>
  <c r="I197"/>
  <c r="I211"/>
  <c r="I246"/>
  <c r="I392"/>
  <c r="I412"/>
  <c r="I18"/>
  <c r="I32"/>
  <c r="I68"/>
  <c r="I218"/>
  <c r="I253"/>
  <c r="I266"/>
  <c r="I279"/>
  <c r="I399"/>
  <c r="I405"/>
  <c r="I425"/>
  <c r="I40"/>
  <c r="I75"/>
  <c r="I286"/>
  <c r="I439"/>
  <c r="I60"/>
  <c r="I118"/>
  <c r="I152"/>
  <c r="I284"/>
  <c r="I95"/>
  <c r="I291"/>
  <c r="I311"/>
  <c r="I340"/>
  <c r="I150"/>
  <c r="I156"/>
  <c r="I177"/>
  <c r="I199"/>
  <c r="I206"/>
  <c r="I220"/>
  <c r="I331"/>
  <c r="I338"/>
  <c r="I345"/>
  <c r="I380"/>
  <c r="I46"/>
  <c r="I258"/>
  <c r="I80"/>
  <c r="I125"/>
  <c r="I320"/>
  <c r="I298"/>
  <c r="I130"/>
  <c r="I137"/>
  <c r="I318"/>
  <c r="I171"/>
  <c r="I420"/>
  <c r="I53"/>
  <c r="I299"/>
  <c r="I145"/>
  <c r="I271"/>
  <c r="I88"/>
  <c r="I109"/>
  <c r="I305"/>
  <c r="I326"/>
  <c r="I165"/>
  <c r="I333"/>
  <c r="I186"/>
  <c r="I325"/>
  <c r="I164"/>
  <c r="I157"/>
  <c r="I192"/>
  <c r="I367"/>
  <c r="I4"/>
  <c r="I91"/>
  <c r="I3"/>
  <c r="I73"/>
  <c r="I378"/>
  <c r="I438"/>
  <c r="I230"/>
  <c r="I317"/>
  <c r="I351"/>
  <c r="I17"/>
  <c r="I45"/>
  <c r="I115"/>
  <c r="I243"/>
  <c r="I5"/>
  <c r="I33"/>
  <c r="I61"/>
  <c r="I82"/>
  <c r="I110"/>
  <c r="I131"/>
  <c r="I178"/>
  <c r="I212"/>
  <c r="I219"/>
  <c r="I239"/>
  <c r="I312"/>
  <c r="I346"/>
  <c r="I353"/>
  <c r="I373"/>
  <c r="I393"/>
  <c r="I413"/>
  <c r="I426"/>
  <c r="I440"/>
  <c r="I54"/>
  <c r="I74"/>
  <c r="I96"/>
  <c r="I124"/>
  <c r="I151"/>
  <c r="I185"/>
  <c r="I198"/>
  <c r="I232"/>
  <c r="I252"/>
  <c r="I285"/>
  <c r="I319"/>
  <c r="I332"/>
  <c r="I366"/>
  <c r="I386"/>
  <c r="I432"/>
  <c r="I116"/>
  <c r="I385"/>
  <c r="I38"/>
  <c r="I136"/>
  <c r="I65"/>
  <c r="I13"/>
  <c r="I41"/>
  <c r="I431"/>
  <c r="I66"/>
  <c r="I143"/>
  <c r="I244"/>
  <c r="I277"/>
  <c r="I87"/>
  <c r="I94"/>
  <c r="I203"/>
  <c r="I223"/>
  <c r="I330"/>
  <c r="I357"/>
  <c r="I316"/>
  <c r="I410"/>
  <c r="I64"/>
  <c r="I93"/>
  <c r="I289"/>
  <c r="I376"/>
  <c r="I436"/>
  <c r="I168"/>
  <c r="I249"/>
  <c r="I349"/>
  <c r="I57"/>
  <c r="I127"/>
  <c r="I228"/>
  <c r="I255"/>
  <c r="I362"/>
  <c r="I435"/>
  <c r="I112"/>
  <c r="I167"/>
  <c r="I214"/>
  <c r="I348"/>
  <c r="I382"/>
  <c r="I408"/>
  <c r="I428"/>
  <c r="I49"/>
  <c r="I105"/>
  <c r="I146"/>
  <c r="I180"/>
  <c r="I187"/>
  <c r="I207"/>
  <c r="I227"/>
  <c r="I280"/>
  <c r="I314"/>
  <c r="I321"/>
  <c r="I341"/>
  <c r="I361"/>
  <c r="I415"/>
  <c r="I421"/>
  <c r="I31"/>
  <c r="I108"/>
  <c r="I210"/>
  <c r="I251"/>
  <c r="I344"/>
  <c r="I217"/>
  <c r="I24"/>
  <c r="I101"/>
  <c r="I296"/>
  <c r="I437"/>
  <c r="I86"/>
  <c r="I169"/>
  <c r="I216"/>
  <c r="I269"/>
  <c r="I350"/>
  <c r="I397"/>
  <c r="I417"/>
  <c r="I148"/>
  <c r="I175"/>
  <c r="I242"/>
  <c r="I282"/>
  <c r="I309"/>
  <c r="I8"/>
  <c r="I36"/>
  <c r="I71"/>
  <c r="I113"/>
  <c r="I134"/>
  <c r="I383"/>
  <c r="I409"/>
  <c r="I77"/>
  <c r="I235"/>
  <c r="I328"/>
  <c r="I7"/>
  <c r="I35"/>
  <c r="I70"/>
  <c r="I99"/>
  <c r="I120"/>
  <c r="I201"/>
  <c r="I301"/>
  <c r="I335"/>
  <c r="I28"/>
  <c r="I69"/>
  <c r="I98"/>
  <c r="I119"/>
  <c r="I153"/>
  <c r="I166"/>
  <c r="I200"/>
  <c r="I247"/>
  <c r="I287"/>
  <c r="I300"/>
  <c r="I334"/>
  <c r="I381"/>
  <c r="I123"/>
  <c r="I163"/>
  <c r="I297"/>
  <c r="I10"/>
  <c r="I52"/>
  <c r="I183"/>
  <c r="I364"/>
  <c r="I398"/>
  <c r="I162"/>
  <c r="I196"/>
  <c r="I337"/>
  <c r="I377"/>
  <c r="I9"/>
  <c r="I37"/>
  <c r="I135"/>
  <c r="I182"/>
  <c r="I303"/>
  <c r="I155"/>
  <c r="I195"/>
  <c r="I329"/>
  <c r="I85"/>
  <c r="I121"/>
  <c r="I215"/>
  <c r="I262"/>
  <c r="I302"/>
  <c r="I396"/>
  <c r="I50"/>
  <c r="I147"/>
  <c r="I194"/>
  <c r="I281"/>
  <c r="I369"/>
  <c r="I389"/>
  <c r="I248"/>
  <c r="I21"/>
  <c r="I20"/>
  <c r="I48"/>
  <c r="I83"/>
  <c r="I90"/>
  <c r="I132"/>
  <c r="I139"/>
  <c r="I159"/>
  <c r="I179"/>
  <c r="I226"/>
  <c r="I260"/>
  <c r="I273"/>
  <c r="I293"/>
  <c r="I313"/>
  <c r="I360"/>
  <c r="I394"/>
  <c r="I401"/>
  <c r="I414"/>
</calcChain>
</file>

<file path=xl/sharedStrings.xml><?xml version="1.0" encoding="utf-8"?>
<sst xmlns="http://schemas.openxmlformats.org/spreadsheetml/2006/main" count="526" uniqueCount="86">
  <si>
    <t>Cue Edificio Principal</t>
  </si>
  <si>
    <t>CUI</t>
  </si>
  <si>
    <t>Punto Partida</t>
  </si>
  <si>
    <t>Dist Circunf</t>
  </si>
  <si>
    <t>Radio Circ</t>
  </si>
  <si>
    <t>Distancia Camino</t>
  </si>
  <si>
    <t>Radio Camino</t>
  </si>
  <si>
    <t>Radio SiGE</t>
  </si>
  <si>
    <t xml:space="preserve"> </t>
  </si>
  <si>
    <t>PLAZA 25 DE MAYO</t>
  </si>
  <si>
    <t>COINCIDE</t>
  </si>
  <si>
    <t>91.9</t>
  </si>
  <si>
    <t>PLAZA DE CAUCETE</t>
  </si>
  <si>
    <t>PLAZA DE JACHAL</t>
  </si>
  <si>
    <t>DISTINTO</t>
  </si>
  <si>
    <t>700115200</t>
  </si>
  <si>
    <t>7000055</t>
  </si>
  <si>
    <t>PROV0101</t>
  </si>
  <si>
    <t>700069600</t>
  </si>
  <si>
    <t>PROV0102</t>
  </si>
  <si>
    <t>700100200</t>
  </si>
  <si>
    <t>PROV0103</t>
  </si>
  <si>
    <t>PROV0201</t>
  </si>
  <si>
    <t>PROV0202</t>
  </si>
  <si>
    <t>PROV0203</t>
  </si>
  <si>
    <t>PROV0204</t>
  </si>
  <si>
    <t>PROV0206</t>
  </si>
  <si>
    <t>PROV0301</t>
  </si>
  <si>
    <t>PROV0302</t>
  </si>
  <si>
    <t>PROV0403</t>
  </si>
  <si>
    <t>PROV0409</t>
  </si>
  <si>
    <t>PROV0442</t>
  </si>
  <si>
    <t>PROV0501</t>
  </si>
  <si>
    <t>PROV0502</t>
  </si>
  <si>
    <t>PROV0503</t>
  </si>
  <si>
    <t>PROV0506</t>
  </si>
  <si>
    <t>PROV0601</t>
  </si>
  <si>
    <t>PROV0602</t>
  </si>
  <si>
    <t>PROV0605</t>
  </si>
  <si>
    <t>PROV0606</t>
  </si>
  <si>
    <t>PROV0607</t>
  </si>
  <si>
    <t>PROV0608</t>
  </si>
  <si>
    <t>PROV0609</t>
  </si>
  <si>
    <t>PROV0610</t>
  </si>
  <si>
    <t>PROV0613</t>
  </si>
  <si>
    <t>PROV0622</t>
  </si>
  <si>
    <t>PROV0702</t>
  </si>
  <si>
    <t>PROV0703</t>
  </si>
  <si>
    <t>PROV0801</t>
  </si>
  <si>
    <t>PROV0805</t>
  </si>
  <si>
    <t>PROV0901</t>
  </si>
  <si>
    <t>PROV1002</t>
  </si>
  <si>
    <t>PROV1004</t>
  </si>
  <si>
    <t>PROV1005</t>
  </si>
  <si>
    <t>PROV1006</t>
  </si>
  <si>
    <t>PROV1009</t>
  </si>
  <si>
    <t>PROV1101</t>
  </si>
  <si>
    <t>PROV1102</t>
  </si>
  <si>
    <t>PROV1103</t>
  </si>
  <si>
    <t>PROV1104</t>
  </si>
  <si>
    <t>PROV1107</t>
  </si>
  <si>
    <t>PROV1108</t>
  </si>
  <si>
    <t>PROV1109</t>
  </si>
  <si>
    <t>PROV1201</t>
  </si>
  <si>
    <t>PROV1202</t>
  </si>
  <si>
    <t>PROV1203</t>
  </si>
  <si>
    <t>PROV1204</t>
  </si>
  <si>
    <t>PROV1205</t>
  </si>
  <si>
    <t>PROV1208</t>
  </si>
  <si>
    <t>INCONGRUENTE</t>
  </si>
  <si>
    <t>PROV1301</t>
  </si>
  <si>
    <t>PROV1401</t>
  </si>
  <si>
    <t>PROV1402</t>
  </si>
  <si>
    <t>PROV1403</t>
  </si>
  <si>
    <t>PROV1501</t>
  </si>
  <si>
    <t>PROV1502</t>
  </si>
  <si>
    <t>PROV1503</t>
  </si>
  <si>
    <t>PROV1504</t>
  </si>
  <si>
    <t>PROV1601</t>
  </si>
  <si>
    <t>PROV1701</t>
  </si>
  <si>
    <t>PROV1702</t>
  </si>
  <si>
    <t>PROV1704</t>
  </si>
  <si>
    <t>PROV1708</t>
  </si>
  <si>
    <t>PROV1801</t>
  </si>
  <si>
    <t>PROV1901</t>
  </si>
  <si>
    <t>PROV1902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</si>
</sst>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006100"/>
      <name val="Calibri"/>
    </font>
    <font>
      <b/>
      <sz val="11"/>
      <color rgb="FF434343"/>
      <name val="Calibri"/>
    </font>
    <font>
      <b/>
      <sz val="11"/>
      <color rgb="FF9C0006"/>
      <name val="Calibri"/>
    </font>
    <font>
      <b/>
      <sz val="11"/>
      <color rgb="FF9C5700"/>
      <name val="Calibri"/>
    </font>
    <font>
      <b/>
      <sz val="11"/>
      <color rgb="FF274E13"/>
      <name val="Calibri"/>
    </font>
    <font>
      <sz val="11"/>
      <color rgb="FF006100"/>
      <name val="Calibri"/>
    </font>
    <font>
      <b/>
      <strike/>
      <sz val="11"/>
      <color rgb="FF006100"/>
      <name val="Calibri"/>
    </font>
    <font>
      <b/>
      <sz val="11"/>
      <color rgb="FF38761D"/>
      <name val="Calibri"/>
    </font>
    <font>
      <sz val="11"/>
      <color rgb="FF9C0006"/>
      <name val="Calibri"/>
    </font>
    <font>
      <b/>
      <sz val="11"/>
      <color rgb="FFCC0000"/>
      <name val="Calibri"/>
    </font>
    <font>
      <b/>
      <sz val="11"/>
      <color rgb="FF000000"/>
      <name val="Calibri"/>
    </font>
    <font>
      <b/>
      <sz val="11"/>
      <color rgb="FF0C343D"/>
      <name val="Calibri"/>
    </font>
    <font>
      <b/>
      <sz val="11"/>
      <color rgb="FFCC4125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rgb="FF9C5700"/>
      <name val="Calibri"/>
    </font>
    <font>
      <b/>
      <strike/>
      <sz val="11"/>
      <color rgb="FF9C0006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1"/>
      <color rgb="FFFF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7F7F7F"/>
        <bgColor rgb="FF7F7F7F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6" fillId="8" borderId="10" xfId="0" applyFont="1" applyFill="1" applyBorder="1" applyAlignment="1">
      <alignment horizontal="left" vertical="center"/>
    </xf>
    <xf numFmtId="0" fontId="6" fillId="8" borderId="11" xfId="0" applyFont="1" applyFill="1" applyBorder="1" applyAlignment="1">
      <alignment horizontal="left" vertical="center"/>
    </xf>
    <xf numFmtId="0" fontId="6" fillId="8" borderId="10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5" fillId="11" borderId="9" xfId="0" applyFont="1" applyFill="1" applyBorder="1" applyAlignment="1">
      <alignment horizontal="left" vertical="center"/>
    </xf>
    <xf numFmtId="0" fontId="16" fillId="11" borderId="9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Gráfico1 Distribución de Edific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0"/>
  <sheetViews>
    <sheetView tabSelected="1" workbookViewId="0">
      <selection activeCell="D7" sqref="D7"/>
    </sheetView>
  </sheetViews>
  <sheetFormatPr baseColWidth="10" defaultColWidth="14.44140625" defaultRowHeight="15" customHeight="1"/>
  <cols>
    <col min="1" max="1" width="11.5546875" customWidth="1"/>
    <col min="2" max="2" width="10.6640625" customWidth="1"/>
    <col min="3" max="3" width="18.5546875" customWidth="1"/>
    <col min="4" max="4" width="10.5546875" customWidth="1"/>
    <col min="5" max="5" width="8.44140625" customWidth="1"/>
    <col min="6" max="6" width="12.109375" customWidth="1"/>
    <col min="7" max="7" width="10.88671875" customWidth="1"/>
    <col min="8" max="8" width="9.88671875" customWidth="1"/>
    <col min="9" max="9" width="15.44140625" customWidth="1"/>
  </cols>
  <sheetData>
    <row r="1" spans="1:9" ht="29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4" t="s">
        <v>8</v>
      </c>
    </row>
    <row r="2" spans="1:9" ht="17.25" customHeight="1">
      <c r="A2" s="5">
        <v>700038100</v>
      </c>
      <c r="B2" s="5">
        <v>7000001</v>
      </c>
      <c r="C2" s="5" t="s">
        <v>9</v>
      </c>
      <c r="D2" s="5">
        <v>13</v>
      </c>
      <c r="E2" s="6">
        <f t="shared" ref="E2:E10" si="0">IF(D2&lt;=4,1,IF(D2&lt;=10,2,IF(D2&lt;=20,3,IF(D2&lt;=40,4,IF(D2&lt;=80,5,6)))))</f>
        <v>3</v>
      </c>
      <c r="F2" s="5">
        <v>16</v>
      </c>
      <c r="G2" s="6">
        <f t="shared" ref="G2:G10" si="1">IF(F2&lt;=4,1,IF(F2&lt;=10,2,IF(F2&lt;=20,3,IF(F2&lt;=40,4,IF(F2&lt;=80,5,6)))))</f>
        <v>3</v>
      </c>
      <c r="H2" s="5">
        <v>3</v>
      </c>
      <c r="I2" s="6" t="str">
        <f>IF(AVERAGE(E2,G2)=H2,"COINCIDE",IF(G2=H2,"INCONGRUENTE","DISTINTO"))</f>
        <v>COINCIDE</v>
      </c>
    </row>
    <row r="3" spans="1:9" ht="14.4">
      <c r="A3" s="8">
        <v>700037800</v>
      </c>
      <c r="B3" s="8">
        <v>7000003</v>
      </c>
      <c r="C3" s="8" t="s">
        <v>9</v>
      </c>
      <c r="D3" s="8">
        <v>11.1</v>
      </c>
      <c r="E3" s="8">
        <f t="shared" si="0"/>
        <v>3</v>
      </c>
      <c r="F3" s="8">
        <v>13</v>
      </c>
      <c r="G3" s="8">
        <f t="shared" si="1"/>
        <v>3</v>
      </c>
      <c r="H3" s="8">
        <v>3</v>
      </c>
      <c r="I3" s="8" t="str">
        <f>IF(AVERAGE(E3,G3)=H3,"COINCIDE",IF(G3=H3,"INCONGRUENTE","DISTINTO"))</f>
        <v>COINCIDE</v>
      </c>
    </row>
    <row r="4" spans="1:9" ht="14.4">
      <c r="A4" s="5">
        <v>700037600</v>
      </c>
      <c r="B4" s="5">
        <v>7000006</v>
      </c>
      <c r="C4" s="5" t="s">
        <v>9</v>
      </c>
      <c r="D4" s="5">
        <v>13</v>
      </c>
      <c r="E4" s="5">
        <f t="shared" si="0"/>
        <v>3</v>
      </c>
      <c r="F4" s="5">
        <v>17</v>
      </c>
      <c r="G4" s="5">
        <f t="shared" si="1"/>
        <v>3</v>
      </c>
      <c r="H4" s="5">
        <v>3</v>
      </c>
      <c r="I4" s="5" t="str">
        <f>IF(AVERAGE(E4,G4)=H4,"COINCIDE",IF(G4=H4,"INCONGRUENTE","DISTINTO"))</f>
        <v>COINCIDE</v>
      </c>
    </row>
    <row r="5" spans="1:9" thickBot="1">
      <c r="A5" s="9">
        <v>700037700</v>
      </c>
      <c r="B5" s="9">
        <v>7000007</v>
      </c>
      <c r="C5" s="9" t="s">
        <v>9</v>
      </c>
      <c r="D5" s="9">
        <v>11.4</v>
      </c>
      <c r="E5" s="9">
        <f t="shared" si="0"/>
        <v>3</v>
      </c>
      <c r="F5" s="9">
        <v>16</v>
      </c>
      <c r="G5" s="9">
        <f t="shared" si="1"/>
        <v>3</v>
      </c>
      <c r="H5" s="9">
        <v>4</v>
      </c>
      <c r="I5" s="9" t="str">
        <f>IF(AVERAGE(E5,G5)=H5,"COINCIDE",IF(G5=H5,"INCONGRUENTE",IF(H5=7,"COINCIDE","DISTINTO")))</f>
        <v>DISTINTO</v>
      </c>
    </row>
    <row r="6" spans="1:9" ht="15.6" thickTop="1" thickBot="1">
      <c r="A6" s="10">
        <v>700032900</v>
      </c>
      <c r="B6" s="10">
        <v>7000009</v>
      </c>
      <c r="C6" s="10" t="s">
        <v>9</v>
      </c>
      <c r="D6" s="10">
        <v>14</v>
      </c>
      <c r="E6" s="10">
        <f t="shared" si="0"/>
        <v>3</v>
      </c>
      <c r="F6" s="10">
        <v>17</v>
      </c>
      <c r="G6" s="10">
        <f t="shared" si="1"/>
        <v>3</v>
      </c>
      <c r="H6" s="10">
        <v>3</v>
      </c>
      <c r="I6" s="10" t="str">
        <f>IF(AVERAGE(E6,G6)=H6,"COINCIDE",IF(G6=H6,"INCONGRUENTE","DISTINTO"))</f>
        <v>COINCIDE</v>
      </c>
    </row>
    <row r="7" spans="1:9" thickTop="1">
      <c r="A7" s="11">
        <v>700038200</v>
      </c>
      <c r="B7" s="11">
        <v>7000010</v>
      </c>
      <c r="C7" s="11" t="s">
        <v>9</v>
      </c>
      <c r="D7" s="11">
        <v>18.3</v>
      </c>
      <c r="E7" s="11">
        <f t="shared" si="0"/>
        <v>3</v>
      </c>
      <c r="F7" s="11">
        <v>22</v>
      </c>
      <c r="G7" s="11">
        <f t="shared" si="1"/>
        <v>4</v>
      </c>
      <c r="H7" s="11">
        <v>4</v>
      </c>
      <c r="I7" s="11" t="str">
        <f>IF(AVERAGE(E7,G7)=H7,"COINCIDE",IF(G7=H7,"INCONGRUENTE","DISTINTO"))</f>
        <v>INCONGRUENTE</v>
      </c>
    </row>
    <row r="8" spans="1:9" ht="14.4">
      <c r="A8" s="9">
        <v>700005700</v>
      </c>
      <c r="B8" s="9">
        <v>7000011</v>
      </c>
      <c r="C8" s="9" t="s">
        <v>9</v>
      </c>
      <c r="D8" s="9">
        <v>9.65</v>
      </c>
      <c r="E8" s="9">
        <f t="shared" si="0"/>
        <v>2</v>
      </c>
      <c r="F8" s="9">
        <v>10</v>
      </c>
      <c r="G8" s="9">
        <f t="shared" si="1"/>
        <v>2</v>
      </c>
      <c r="H8" s="9">
        <v>4</v>
      </c>
      <c r="I8" s="9" t="str">
        <f>IF(AVERAGE(E8,G8)=H8,"COINCIDE",IF(G8=H8,"INCONGRUENTE",IF(H8=7,"COINCIDE","DISTINTO")))</f>
        <v>DISTINTO</v>
      </c>
    </row>
    <row r="9" spans="1:9" ht="14.4">
      <c r="A9" s="7">
        <v>700005800</v>
      </c>
      <c r="B9" s="7">
        <v>7000012</v>
      </c>
      <c r="C9" s="7" t="s">
        <v>9</v>
      </c>
      <c r="D9" s="7">
        <v>10.6</v>
      </c>
      <c r="E9" s="7">
        <f t="shared" si="0"/>
        <v>3</v>
      </c>
      <c r="F9" s="7">
        <v>15</v>
      </c>
      <c r="G9" s="7">
        <f t="shared" si="1"/>
        <v>3</v>
      </c>
      <c r="H9" s="7">
        <v>3</v>
      </c>
      <c r="I9" s="5" t="str">
        <f>IF(AVERAGE(E9,G9)=H9,"COINCIDE",IF(G9=H9,"INCONGRUENTE","DISTINTO"))</f>
        <v>COINCIDE</v>
      </c>
    </row>
    <row r="10" spans="1:9" ht="14.4">
      <c r="A10" s="5">
        <v>700038300</v>
      </c>
      <c r="B10" s="5">
        <v>7000013</v>
      </c>
      <c r="C10" s="5" t="s">
        <v>9</v>
      </c>
      <c r="D10" s="5">
        <v>20.6</v>
      </c>
      <c r="E10" s="5">
        <f t="shared" si="0"/>
        <v>4</v>
      </c>
      <c r="F10" s="5">
        <v>25</v>
      </c>
      <c r="G10" s="5">
        <f t="shared" si="1"/>
        <v>4</v>
      </c>
      <c r="H10" s="5">
        <v>4</v>
      </c>
      <c r="I10" s="5" t="str">
        <f>IF(AVERAGE(E10,G10)=H10,"COINCIDE",IF(G10=H10,"INCONGRUENTE","DISTINTO"))</f>
        <v>COINCIDE</v>
      </c>
    </row>
    <row r="11" spans="1:9" ht="14.4">
      <c r="A11" s="12">
        <v>700038400</v>
      </c>
      <c r="B11" s="12">
        <v>7000014</v>
      </c>
      <c r="C11" s="5" t="s">
        <v>9</v>
      </c>
      <c r="D11" s="12">
        <v>11.4</v>
      </c>
      <c r="E11" s="12">
        <v>3</v>
      </c>
      <c r="F11" s="12">
        <v>18</v>
      </c>
      <c r="G11" s="12">
        <v>3</v>
      </c>
      <c r="H11" s="12">
        <v>3</v>
      </c>
      <c r="I11" s="12" t="s">
        <v>10</v>
      </c>
    </row>
    <row r="12" spans="1:9" ht="14.4">
      <c r="A12" s="5">
        <v>700033000</v>
      </c>
      <c r="B12" s="5">
        <v>7000015</v>
      </c>
      <c r="C12" s="5" t="s">
        <v>9</v>
      </c>
      <c r="D12" s="5">
        <v>12.2</v>
      </c>
      <c r="E12" s="5">
        <f t="shared" ref="E12:E38" si="2">IF(D12&lt;=4,1,IF(D12&lt;=10,2,IF(D12&lt;=20,3,IF(D12&lt;=40,4,IF(D12&lt;=80,5,6)))))</f>
        <v>3</v>
      </c>
      <c r="F12" s="5">
        <v>15</v>
      </c>
      <c r="G12" s="5">
        <f t="shared" ref="G12:G21" si="3">IF(F12&lt;=4,1,IF(F12&lt;=10,2,IF(F12&lt;=20,3,IF(F12&lt;=40,4,IF(F12&lt;=80,5,6)))))</f>
        <v>3</v>
      </c>
      <c r="H12" s="5">
        <v>3</v>
      </c>
      <c r="I12" s="5" t="str">
        <f>IF(AVERAGE(E12,G12)=H12,"COINCIDE",IF(G12=H12,"INCONGRUENTE","DISTINTO"))</f>
        <v>COINCIDE</v>
      </c>
    </row>
    <row r="13" spans="1:9" ht="14.4">
      <c r="A13" s="5">
        <v>700033100</v>
      </c>
      <c r="B13" s="5">
        <v>7000016</v>
      </c>
      <c r="C13" s="5" t="s">
        <v>9</v>
      </c>
      <c r="D13" s="5">
        <v>12.1</v>
      </c>
      <c r="E13" s="5">
        <f t="shared" si="2"/>
        <v>3</v>
      </c>
      <c r="F13" s="5">
        <v>15</v>
      </c>
      <c r="G13" s="5">
        <f t="shared" si="3"/>
        <v>3</v>
      </c>
      <c r="H13" s="5">
        <v>3</v>
      </c>
      <c r="I13" s="5" t="str">
        <f>IF(AVERAGE(E13,G13)=H13,"COINCIDE",IF(G13=H13,"INCONGRUENTE","DISTINTO"))</f>
        <v>COINCIDE</v>
      </c>
    </row>
    <row r="14" spans="1:9" ht="14.4">
      <c r="A14" s="5">
        <v>700038500</v>
      </c>
      <c r="B14" s="5">
        <v>7000017</v>
      </c>
      <c r="C14" s="5" t="s">
        <v>9</v>
      </c>
      <c r="D14" s="5">
        <v>12.2</v>
      </c>
      <c r="E14" s="5">
        <f t="shared" si="2"/>
        <v>3</v>
      </c>
      <c r="F14" s="5">
        <v>14</v>
      </c>
      <c r="G14" s="5">
        <f t="shared" si="3"/>
        <v>3</v>
      </c>
      <c r="H14" s="5">
        <v>3</v>
      </c>
      <c r="I14" s="5" t="str">
        <f>IF(AVERAGE(E14,G14)=H14,"COINCIDE",IF(G14=H14,"INCONGRUENTE","DISTINTO"))</f>
        <v>COINCIDE</v>
      </c>
    </row>
    <row r="15" spans="1:9" ht="14.4">
      <c r="A15" s="11">
        <v>700014900</v>
      </c>
      <c r="B15" s="11">
        <v>7000019</v>
      </c>
      <c r="C15" s="11" t="s">
        <v>9</v>
      </c>
      <c r="D15" s="11">
        <v>19.7</v>
      </c>
      <c r="E15" s="11">
        <f t="shared" si="2"/>
        <v>3</v>
      </c>
      <c r="F15" s="11">
        <v>28</v>
      </c>
      <c r="G15" s="11">
        <f t="shared" si="3"/>
        <v>4</v>
      </c>
      <c r="H15" s="11">
        <v>4</v>
      </c>
      <c r="I15" s="11" t="str">
        <f>IF(AVERAGE(E15,G15)=H15,"COINCIDE",IF(G15=H15,"INCONGRUENTE","DISTINTO"))</f>
        <v>INCONGRUENTE</v>
      </c>
    </row>
    <row r="16" spans="1:9" thickBot="1">
      <c r="A16" s="5">
        <v>700049000</v>
      </c>
      <c r="B16" s="5">
        <v>7000020</v>
      </c>
      <c r="C16" s="5" t="s">
        <v>9</v>
      </c>
      <c r="D16" s="5">
        <v>25.4</v>
      </c>
      <c r="E16" s="5">
        <f t="shared" si="2"/>
        <v>4</v>
      </c>
      <c r="F16" s="5">
        <v>37</v>
      </c>
      <c r="G16" s="5">
        <f t="shared" si="3"/>
        <v>4</v>
      </c>
      <c r="H16" s="5">
        <v>4</v>
      </c>
      <c r="I16" s="5" t="str">
        <f>IF(AVERAGE(E16,G16)=H16,"COINCIDE",IF(G16=H16,"INCONGRUENTE","DISTINTO"))</f>
        <v>COINCIDE</v>
      </c>
    </row>
    <row r="17" spans="1:9" ht="15.6" thickTop="1" thickBot="1">
      <c r="A17" s="13">
        <v>700049600</v>
      </c>
      <c r="B17" s="13">
        <v>7000021</v>
      </c>
      <c r="C17" s="13" t="s">
        <v>9</v>
      </c>
      <c r="D17" s="13">
        <v>17.8</v>
      </c>
      <c r="E17" s="13">
        <f t="shared" si="2"/>
        <v>3</v>
      </c>
      <c r="F17" s="13">
        <v>28</v>
      </c>
      <c r="G17" s="13">
        <f t="shared" si="3"/>
        <v>4</v>
      </c>
      <c r="H17" s="13">
        <v>4</v>
      </c>
      <c r="I17" s="11" t="str">
        <f>IF(AVERAGE(E17,G17)=H17,"COINCIDE",IF(G17=H17,"INCONGRUENTE","DISTINTO"))</f>
        <v>INCONGRUENTE</v>
      </c>
    </row>
    <row r="18" spans="1:9" ht="14.25" customHeight="1" thickTop="1">
      <c r="A18" s="9">
        <v>700049500</v>
      </c>
      <c r="B18" s="9">
        <v>7000022</v>
      </c>
      <c r="C18" s="9" t="s">
        <v>9</v>
      </c>
      <c r="D18" s="9">
        <v>12.5</v>
      </c>
      <c r="E18" s="9">
        <f t="shared" si="2"/>
        <v>3</v>
      </c>
      <c r="F18" s="9">
        <v>19</v>
      </c>
      <c r="G18" s="9">
        <f t="shared" si="3"/>
        <v>3</v>
      </c>
      <c r="H18" s="9">
        <v>4</v>
      </c>
      <c r="I18" s="9" t="str">
        <f>IF(AVERAGE(E18,G18)=H18,"COINCIDE",IF(G18=H18,"INCONGRUENTE",IF(H18=7,"COINCIDE","DISTINTO")))</f>
        <v>DISTINTO</v>
      </c>
    </row>
    <row r="19" spans="1:9" ht="14.4">
      <c r="A19" s="11">
        <v>700014800</v>
      </c>
      <c r="B19" s="11">
        <v>7000024</v>
      </c>
      <c r="C19" s="11" t="s">
        <v>9</v>
      </c>
      <c r="D19" s="11">
        <v>19.8</v>
      </c>
      <c r="E19" s="11">
        <f t="shared" si="2"/>
        <v>3</v>
      </c>
      <c r="F19" s="11">
        <v>28</v>
      </c>
      <c r="G19" s="11">
        <f t="shared" si="3"/>
        <v>4</v>
      </c>
      <c r="H19" s="11">
        <v>4</v>
      </c>
      <c r="I19" s="11" t="str">
        <f>IF(AVERAGE(E19,G19)=H19,"COINCIDE",IF(G19=H19,"INCONGRUENTE","DISTINTO"))</f>
        <v>INCONGRUENTE</v>
      </c>
    </row>
    <row r="20" spans="1:9" ht="15.75" customHeight="1">
      <c r="A20" s="5">
        <v>700048900</v>
      </c>
      <c r="B20" s="5">
        <v>7000026</v>
      </c>
      <c r="C20" s="5" t="s">
        <v>9</v>
      </c>
      <c r="D20" s="5">
        <v>25.3</v>
      </c>
      <c r="E20" s="5">
        <f t="shared" si="2"/>
        <v>4</v>
      </c>
      <c r="F20" s="5">
        <v>38</v>
      </c>
      <c r="G20" s="5">
        <f t="shared" si="3"/>
        <v>4</v>
      </c>
      <c r="H20" s="5">
        <v>4</v>
      </c>
      <c r="I20" s="5" t="str">
        <f>IF(AVERAGE(E20,G20)=H20,"COINCIDE",IF(G20=H20,"INCONGRUENTE","DISTINTO"))</f>
        <v>COINCIDE</v>
      </c>
    </row>
    <row r="21" spans="1:9" ht="15.75" customHeight="1">
      <c r="A21" s="5">
        <v>700014600</v>
      </c>
      <c r="B21" s="5">
        <v>7000027</v>
      </c>
      <c r="C21" s="5" t="s">
        <v>9</v>
      </c>
      <c r="D21" s="5">
        <v>20.100000000000001</v>
      </c>
      <c r="E21" s="5">
        <f t="shared" si="2"/>
        <v>4</v>
      </c>
      <c r="F21" s="5">
        <v>28</v>
      </c>
      <c r="G21" s="5">
        <f t="shared" si="3"/>
        <v>4</v>
      </c>
      <c r="H21" s="5">
        <v>4</v>
      </c>
      <c r="I21" s="5" t="str">
        <f>IF(AVERAGE(E21,G21)=H21,"COINCIDE",IF(G21=H21,"INCONGRUENTE","DISTINTO"))</f>
        <v>COINCIDE</v>
      </c>
    </row>
    <row r="22" spans="1:9" ht="15.75" customHeight="1">
      <c r="A22" s="14">
        <v>700049200</v>
      </c>
      <c r="B22" s="14">
        <v>7000029</v>
      </c>
      <c r="C22" s="14" t="s">
        <v>9</v>
      </c>
      <c r="D22" s="14">
        <v>14.7</v>
      </c>
      <c r="E22" s="14">
        <f t="shared" si="2"/>
        <v>3</v>
      </c>
      <c r="F22" s="14">
        <v>20</v>
      </c>
      <c r="G22" s="15">
        <v>4</v>
      </c>
      <c r="H22" s="14">
        <v>4</v>
      </c>
      <c r="I22" s="14" t="str">
        <f>IF(AVERAGE(E22,G22)=H22,"COINCIDE",IF(G22=H22,"INCONGRUENTE",IF(H22=7,"COINCIDE","DISTINTO")))</f>
        <v>INCONGRUENTE</v>
      </c>
    </row>
    <row r="23" spans="1:9" ht="15.75" customHeight="1">
      <c r="A23" s="5">
        <v>700032000</v>
      </c>
      <c r="B23" s="5">
        <v>7000031</v>
      </c>
      <c r="C23" s="5" t="s">
        <v>9</v>
      </c>
      <c r="D23" s="5">
        <v>88.3</v>
      </c>
      <c r="E23" s="5">
        <f t="shared" si="2"/>
        <v>6</v>
      </c>
      <c r="F23" s="5">
        <v>173</v>
      </c>
      <c r="G23" s="5">
        <f t="shared" ref="G23:G38" si="4">IF(F23&lt;=4,1,IF(F23&lt;=10,2,IF(F23&lt;=20,3,IF(F23&lt;=40,4,IF(F23&lt;=80,5,6)))))</f>
        <v>6</v>
      </c>
      <c r="H23" s="5">
        <v>6</v>
      </c>
      <c r="I23" s="5" t="str">
        <f>IF(AVERAGE(E23,G23)=H23,"COINCIDE",IF(G23=H23,"INCONGRUENTE","DISTINTO"))</f>
        <v>COINCIDE</v>
      </c>
    </row>
    <row r="24" spans="1:9" ht="15.75" customHeight="1">
      <c r="A24" s="5">
        <v>700031700</v>
      </c>
      <c r="B24" s="5">
        <v>7000032</v>
      </c>
      <c r="C24" s="5" t="s">
        <v>9</v>
      </c>
      <c r="D24" s="5">
        <v>88.3</v>
      </c>
      <c r="E24" s="5">
        <f t="shared" si="2"/>
        <v>6</v>
      </c>
      <c r="F24" s="5">
        <v>169</v>
      </c>
      <c r="G24" s="5">
        <f t="shared" si="4"/>
        <v>6</v>
      </c>
      <c r="H24" s="5">
        <v>6</v>
      </c>
      <c r="I24" s="5" t="str">
        <f>IF(AVERAGE(E24,G24)=H24,"COINCIDE",IF(G24=H24,"INCONGRUENTE","DISTINTO"))</f>
        <v>COINCIDE</v>
      </c>
    </row>
    <row r="25" spans="1:9" ht="15.75" customHeight="1">
      <c r="A25" s="5">
        <v>700031900</v>
      </c>
      <c r="B25" s="5">
        <v>7000033</v>
      </c>
      <c r="C25" s="5" t="s">
        <v>9</v>
      </c>
      <c r="D25" s="5">
        <v>89.7</v>
      </c>
      <c r="E25" s="5">
        <f t="shared" si="2"/>
        <v>6</v>
      </c>
      <c r="F25" s="5">
        <v>177</v>
      </c>
      <c r="G25" s="5">
        <f t="shared" si="4"/>
        <v>6</v>
      </c>
      <c r="H25" s="5">
        <v>6</v>
      </c>
      <c r="I25" s="5" t="str">
        <f>IF(AVERAGE(E25,G25)=H25,"COINCIDE",IF(G25=H25,"INCONGRUENTE","DISTINTO"))</f>
        <v>COINCIDE</v>
      </c>
    </row>
    <row r="26" spans="1:9" ht="15.75" customHeight="1">
      <c r="A26" s="5">
        <v>700022500</v>
      </c>
      <c r="B26" s="5">
        <v>7000034</v>
      </c>
      <c r="C26" s="5" t="s">
        <v>9</v>
      </c>
      <c r="D26" s="5" t="s">
        <v>11</v>
      </c>
      <c r="E26" s="5">
        <f t="shared" si="2"/>
        <v>6</v>
      </c>
      <c r="F26" s="5">
        <v>212</v>
      </c>
      <c r="G26" s="5">
        <f t="shared" si="4"/>
        <v>6</v>
      </c>
      <c r="H26" s="5">
        <v>6</v>
      </c>
      <c r="I26" s="5" t="str">
        <f>IF(AVERAGE(E26,G26)=H26,"COINCIDE",IF(G26=H26,"INCONGRUENTE","DISTINTO"))</f>
        <v>COINCIDE</v>
      </c>
    </row>
    <row r="27" spans="1:9" ht="15.75" customHeight="1">
      <c r="A27" s="5">
        <v>700022200</v>
      </c>
      <c r="B27" s="5">
        <v>7000035</v>
      </c>
      <c r="C27" s="5" t="s">
        <v>9</v>
      </c>
      <c r="D27" s="5">
        <v>93.6</v>
      </c>
      <c r="E27" s="5">
        <f t="shared" si="2"/>
        <v>6</v>
      </c>
      <c r="F27" s="5">
        <v>219</v>
      </c>
      <c r="G27" s="5">
        <f t="shared" si="4"/>
        <v>6</v>
      </c>
      <c r="H27" s="5">
        <v>6</v>
      </c>
      <c r="I27" s="5" t="str">
        <f>IF(AVERAGE(E27,G27)=H27,"COINCIDE",IF(G27=H27,"INCONGRUENTE","DISTINTO"))</f>
        <v>COINCIDE</v>
      </c>
    </row>
    <row r="28" spans="1:9" ht="15.75" customHeight="1">
      <c r="A28" s="5">
        <v>700022400</v>
      </c>
      <c r="B28" s="5">
        <v>7000036</v>
      </c>
      <c r="C28" s="5" t="s">
        <v>9</v>
      </c>
      <c r="D28" s="5">
        <v>90.9</v>
      </c>
      <c r="E28" s="5">
        <f t="shared" si="2"/>
        <v>6</v>
      </c>
      <c r="F28" s="5">
        <v>211</v>
      </c>
      <c r="G28" s="5">
        <f t="shared" si="4"/>
        <v>6</v>
      </c>
      <c r="H28" s="5">
        <v>6</v>
      </c>
      <c r="I28" s="5" t="str">
        <f>IF(AVERAGE(E28,G28)=H28,"COINCIDE",IF(G28=H28,"INCONGRUENTE","DISTINTO"))</f>
        <v>COINCIDE</v>
      </c>
    </row>
    <row r="29" spans="1:9" ht="15.75" customHeight="1">
      <c r="A29" s="5">
        <v>700022600</v>
      </c>
      <c r="B29" s="5">
        <v>7000037</v>
      </c>
      <c r="C29" s="5" t="s">
        <v>9</v>
      </c>
      <c r="D29" s="5">
        <v>89.7</v>
      </c>
      <c r="E29" s="5">
        <f t="shared" si="2"/>
        <v>6</v>
      </c>
      <c r="F29" s="5">
        <v>207</v>
      </c>
      <c r="G29" s="5">
        <f t="shared" si="4"/>
        <v>6</v>
      </c>
      <c r="H29" s="5">
        <v>6</v>
      </c>
      <c r="I29" s="5" t="str">
        <f>IF(AVERAGE(E29,G29)=H29,"COINCIDE",IF(G29=H29,"INCONGRUENTE","DISTINTO"))</f>
        <v>COINCIDE</v>
      </c>
    </row>
    <row r="30" spans="1:9" ht="15.75" customHeight="1">
      <c r="A30" s="5">
        <v>700011500</v>
      </c>
      <c r="B30" s="5">
        <v>7000041</v>
      </c>
      <c r="C30" s="5" t="s">
        <v>9</v>
      </c>
      <c r="D30" s="5">
        <v>84.7</v>
      </c>
      <c r="E30" s="5">
        <f t="shared" si="2"/>
        <v>6</v>
      </c>
      <c r="F30" s="5">
        <v>184</v>
      </c>
      <c r="G30" s="5">
        <f t="shared" si="4"/>
        <v>6</v>
      </c>
      <c r="H30" s="5">
        <v>6</v>
      </c>
      <c r="I30" s="5" t="str">
        <f>IF(AVERAGE(E30,G30)=H30,"COINCIDE",IF(G30=H30,"INCONGRUENTE","DISTINTO"))</f>
        <v>COINCIDE</v>
      </c>
    </row>
    <row r="31" spans="1:9" ht="15.75" customHeight="1" thickBot="1">
      <c r="A31" s="5">
        <v>700011400</v>
      </c>
      <c r="B31" s="5">
        <v>7000042</v>
      </c>
      <c r="C31" s="5" t="s">
        <v>9</v>
      </c>
      <c r="D31" s="5">
        <v>83.5</v>
      </c>
      <c r="E31" s="5">
        <f t="shared" si="2"/>
        <v>6</v>
      </c>
      <c r="F31" s="5">
        <v>190</v>
      </c>
      <c r="G31" s="5">
        <f t="shared" si="4"/>
        <v>6</v>
      </c>
      <c r="H31" s="5">
        <v>6</v>
      </c>
      <c r="I31" s="5" t="str">
        <f>IF(AVERAGE(E31,G31)=H31,"COINCIDE",IF(G31=H31,"INCONGRUENTE","DISTINTO"))</f>
        <v>COINCIDE</v>
      </c>
    </row>
    <row r="32" spans="1:9" ht="15.75" customHeight="1" thickTop="1" thickBot="1">
      <c r="A32" s="10">
        <v>700031800</v>
      </c>
      <c r="B32" s="10">
        <v>7000043</v>
      </c>
      <c r="C32" s="10" t="s">
        <v>9</v>
      </c>
      <c r="D32" s="10">
        <v>86.4</v>
      </c>
      <c r="E32" s="10">
        <f t="shared" si="2"/>
        <v>6</v>
      </c>
      <c r="F32" s="10">
        <v>178</v>
      </c>
      <c r="G32" s="10">
        <f t="shared" si="4"/>
        <v>6</v>
      </c>
      <c r="H32" s="10">
        <v>6</v>
      </c>
      <c r="I32" s="10" t="str">
        <f>IF(AVERAGE(E32,G32)=H32,"COINCIDE",IF(G32=H32,"INCONGRUENTE","DISTINTO"))</f>
        <v>COINCIDE</v>
      </c>
    </row>
    <row r="33" spans="1:9" ht="15.75" customHeight="1" thickTop="1">
      <c r="A33" s="7">
        <v>700044700</v>
      </c>
      <c r="B33" s="7">
        <v>7000044</v>
      </c>
      <c r="C33" s="7" t="s">
        <v>9</v>
      </c>
      <c r="D33" s="7">
        <v>100</v>
      </c>
      <c r="E33" s="7">
        <f t="shared" si="2"/>
        <v>6</v>
      </c>
      <c r="F33" s="7">
        <v>198</v>
      </c>
      <c r="G33" s="7">
        <f t="shared" si="4"/>
        <v>6</v>
      </c>
      <c r="H33" s="7">
        <v>6</v>
      </c>
      <c r="I33" s="7" t="str">
        <f>IF(AVERAGE(E33,G33)=H33,"COINCIDE",IF(G33=H33,"INCONGRUENTE","DISTINTO"))</f>
        <v>COINCIDE</v>
      </c>
    </row>
    <row r="34" spans="1:9" ht="15.75" customHeight="1">
      <c r="A34" s="5">
        <v>700011300</v>
      </c>
      <c r="B34" s="5">
        <v>7000045</v>
      </c>
      <c r="C34" s="5" t="s">
        <v>9</v>
      </c>
      <c r="D34" s="5">
        <v>87.5</v>
      </c>
      <c r="E34" s="5">
        <f t="shared" si="2"/>
        <v>6</v>
      </c>
      <c r="F34" s="5">
        <v>200</v>
      </c>
      <c r="G34" s="5">
        <f t="shared" si="4"/>
        <v>6</v>
      </c>
      <c r="H34" s="5">
        <v>6</v>
      </c>
      <c r="I34" s="5" t="str">
        <f>IF(AVERAGE(E34,G34)=H34,"COINCIDE",IF(G34=H34,"INCONGRUENTE","DISTINTO"))</f>
        <v>COINCIDE</v>
      </c>
    </row>
    <row r="35" spans="1:9" ht="15.75" customHeight="1">
      <c r="A35" s="5">
        <v>700010900</v>
      </c>
      <c r="B35" s="5">
        <v>7000046</v>
      </c>
      <c r="C35" s="5" t="s">
        <v>9</v>
      </c>
      <c r="D35" s="5">
        <v>85.6</v>
      </c>
      <c r="E35" s="5">
        <f t="shared" si="2"/>
        <v>6</v>
      </c>
      <c r="F35" s="5">
        <v>194</v>
      </c>
      <c r="G35" s="5">
        <f t="shared" si="4"/>
        <v>6</v>
      </c>
      <c r="H35" s="5">
        <v>6</v>
      </c>
      <c r="I35" s="5" t="str">
        <f>IF(AVERAGE(E35,G35)=H35,"COINCIDE",IF(G35=H35,"INCONGRUENTE","DISTINTO"))</f>
        <v>COINCIDE</v>
      </c>
    </row>
    <row r="36" spans="1:9" ht="15.75" customHeight="1">
      <c r="A36" s="5">
        <v>700011100</v>
      </c>
      <c r="B36" s="5">
        <v>7000047</v>
      </c>
      <c r="C36" s="5" t="s">
        <v>9</v>
      </c>
      <c r="D36" s="5">
        <v>85.6</v>
      </c>
      <c r="E36" s="5">
        <f t="shared" si="2"/>
        <v>6</v>
      </c>
      <c r="F36" s="5">
        <v>192</v>
      </c>
      <c r="G36" s="5">
        <f t="shared" si="4"/>
        <v>6</v>
      </c>
      <c r="H36" s="5">
        <v>6</v>
      </c>
      <c r="I36" s="5" t="str">
        <f>IF(AVERAGE(E36,G36)=H36,"COINCIDE",IF(G36=H36,"INCONGRUENTE","DISTINTO"))</f>
        <v>COINCIDE</v>
      </c>
    </row>
    <row r="37" spans="1:9" ht="15.75" customHeight="1">
      <c r="A37" s="5">
        <v>700010800</v>
      </c>
      <c r="B37" s="5">
        <v>7000049</v>
      </c>
      <c r="C37" s="5" t="s">
        <v>9</v>
      </c>
      <c r="D37" s="5">
        <v>93.1</v>
      </c>
      <c r="E37" s="5">
        <f t="shared" si="2"/>
        <v>6</v>
      </c>
      <c r="F37" s="5">
        <v>184</v>
      </c>
      <c r="G37" s="5">
        <f t="shared" si="4"/>
        <v>6</v>
      </c>
      <c r="H37" s="5">
        <v>6</v>
      </c>
      <c r="I37" s="5" t="str">
        <f>IF(AVERAGE(E37,G37)=H37,"COINCIDE",IF(G37=H37,"INCONGRUENTE","DISTINTO"))</f>
        <v>COINCIDE</v>
      </c>
    </row>
    <row r="38" spans="1:9" ht="15.75" customHeight="1">
      <c r="A38" s="5">
        <v>700044800</v>
      </c>
      <c r="B38" s="5">
        <v>7000050</v>
      </c>
      <c r="C38" s="5" t="s">
        <v>9</v>
      </c>
      <c r="D38" s="5">
        <v>107</v>
      </c>
      <c r="E38" s="5">
        <f t="shared" si="2"/>
        <v>6</v>
      </c>
      <c r="F38" s="5">
        <v>208</v>
      </c>
      <c r="G38" s="5">
        <f t="shared" si="4"/>
        <v>6</v>
      </c>
      <c r="H38" s="5">
        <v>6</v>
      </c>
      <c r="I38" s="5" t="str">
        <f>IF(AVERAGE(E38,G38)=H38,"COINCIDE",IF(G38=H38,"INCONGRUENTE","DISTINTO"))</f>
        <v>COINCIDE</v>
      </c>
    </row>
    <row r="39" spans="1:9" ht="15.75" customHeight="1">
      <c r="A39" s="12">
        <v>700060900</v>
      </c>
      <c r="B39" s="12">
        <v>7000052</v>
      </c>
      <c r="C39" s="12" t="s">
        <v>9</v>
      </c>
      <c r="D39" s="12">
        <v>1.57</v>
      </c>
      <c r="E39" s="12">
        <v>1</v>
      </c>
      <c r="F39" s="12">
        <v>2</v>
      </c>
      <c r="G39" s="12">
        <v>1</v>
      </c>
      <c r="H39" s="12">
        <v>1</v>
      </c>
      <c r="I39" s="12" t="s">
        <v>10</v>
      </c>
    </row>
    <row r="40" spans="1:9" ht="15.75" customHeight="1">
      <c r="A40" s="5">
        <v>700030900</v>
      </c>
      <c r="B40" s="5">
        <v>7000053</v>
      </c>
      <c r="C40" s="5" t="s">
        <v>9</v>
      </c>
      <c r="D40" s="12">
        <v>1.29</v>
      </c>
      <c r="E40" s="5">
        <f t="shared" ref="E40:E76" si="5">IF(D40&lt;=4,1,IF(D40&lt;=10,2,IF(D40&lt;=20,3,IF(D40&lt;=40,4,IF(D40&lt;=80,5,6)))))</f>
        <v>1</v>
      </c>
      <c r="F40" s="5">
        <v>2</v>
      </c>
      <c r="G40" s="5">
        <f t="shared" ref="G40:G76" si="6">IF(F40&lt;=4,1,IF(F40&lt;=10,2,IF(F40&lt;=20,3,IF(F40&lt;=40,4,IF(F40&lt;=80,5,6)))))</f>
        <v>1</v>
      </c>
      <c r="H40" s="5">
        <v>1</v>
      </c>
      <c r="I40" s="5" t="str">
        <f>IF(AVERAGE(E40,G40)=H40,"COINCIDE",IF(G40=H40,"INCONGRUENTE","DISTINTO"))</f>
        <v>COINCIDE</v>
      </c>
    </row>
    <row r="41" spans="1:9" ht="15.75" customHeight="1">
      <c r="A41" s="5">
        <v>700061700</v>
      </c>
      <c r="B41" s="5">
        <v>7000054</v>
      </c>
      <c r="C41" s="5" t="s">
        <v>9</v>
      </c>
      <c r="D41" s="5">
        <v>0.38</v>
      </c>
      <c r="E41" s="5">
        <f t="shared" si="5"/>
        <v>1</v>
      </c>
      <c r="F41" s="12">
        <v>0.67100000000000004</v>
      </c>
      <c r="G41" s="5">
        <f t="shared" si="6"/>
        <v>1</v>
      </c>
      <c r="H41" s="5">
        <v>1</v>
      </c>
      <c r="I41" s="5" t="str">
        <f>IF(AVERAGE(E41,G41)=H41,"COINCIDE",IF(G41=H41,"INCONGRUENTE","DISTINTO"))</f>
        <v>COINCIDE</v>
      </c>
    </row>
    <row r="42" spans="1:9" ht="15.75" customHeight="1">
      <c r="A42" s="5">
        <v>700060000</v>
      </c>
      <c r="B42" s="5">
        <v>7000055</v>
      </c>
      <c r="C42" s="5" t="s">
        <v>9</v>
      </c>
      <c r="D42" s="5">
        <v>1.26</v>
      </c>
      <c r="E42" s="5">
        <f t="shared" si="5"/>
        <v>1</v>
      </c>
      <c r="F42" s="5">
        <v>2</v>
      </c>
      <c r="G42" s="5">
        <f t="shared" si="6"/>
        <v>1</v>
      </c>
      <c r="H42" s="5">
        <v>1</v>
      </c>
      <c r="I42" s="5" t="str">
        <f>IF(AVERAGE(E42,G42)=H42,"COINCIDE",IF(G42=H42,"INCONGRUENTE","DISTINTO"))</f>
        <v>COINCIDE</v>
      </c>
    </row>
    <row r="43" spans="1:9" ht="15.75" customHeight="1">
      <c r="A43" s="5">
        <v>700054900</v>
      </c>
      <c r="B43" s="5">
        <v>7000056</v>
      </c>
      <c r="C43" s="5" t="s">
        <v>9</v>
      </c>
      <c r="D43" s="12">
        <v>1.82</v>
      </c>
      <c r="E43" s="5">
        <f t="shared" si="5"/>
        <v>1</v>
      </c>
      <c r="F43" s="5">
        <v>3</v>
      </c>
      <c r="G43" s="5">
        <f t="shared" si="6"/>
        <v>1</v>
      </c>
      <c r="H43" s="5">
        <v>1</v>
      </c>
      <c r="I43" s="5" t="str">
        <f>IF(AVERAGE(E43,G43)=H43,"COINCIDE",IF(G43=H43,"INCONGRUENTE","DISTINTO"))</f>
        <v>COINCIDE</v>
      </c>
    </row>
    <row r="44" spans="1:9" ht="15.75" customHeight="1">
      <c r="A44" s="5">
        <v>700048000</v>
      </c>
      <c r="B44" s="5">
        <v>7000057</v>
      </c>
      <c r="C44" s="5" t="s">
        <v>9</v>
      </c>
      <c r="D44" s="12">
        <v>0.66</v>
      </c>
      <c r="E44" s="5">
        <f t="shared" si="5"/>
        <v>1</v>
      </c>
      <c r="F44" s="12">
        <v>0.85</v>
      </c>
      <c r="G44" s="5">
        <f t="shared" si="6"/>
        <v>1</v>
      </c>
      <c r="H44" s="5">
        <v>1</v>
      </c>
      <c r="I44" s="5" t="str">
        <f>IF(AVERAGE(E44,G44)=H44,"COINCIDE",IF(G44=H44,"INCONGRUENTE","DISTINTO"))</f>
        <v>COINCIDE</v>
      </c>
    </row>
    <row r="45" spans="1:9" ht="15.75" customHeight="1">
      <c r="A45" s="5">
        <v>700060500</v>
      </c>
      <c r="B45" s="5">
        <v>7000058</v>
      </c>
      <c r="C45" s="5" t="s">
        <v>9</v>
      </c>
      <c r="D45" s="12">
        <v>1.38</v>
      </c>
      <c r="E45" s="5">
        <f t="shared" si="5"/>
        <v>1</v>
      </c>
      <c r="F45" s="5">
        <v>3</v>
      </c>
      <c r="G45" s="5">
        <f t="shared" si="6"/>
        <v>1</v>
      </c>
      <c r="H45" s="5">
        <v>1</v>
      </c>
      <c r="I45" s="5" t="str">
        <f>IF(AVERAGE(E45,G45)=H45,"COINCIDE",IF(G45=H45,"INCONGRUENTE","DISTINTO"))</f>
        <v>COINCIDE</v>
      </c>
    </row>
    <row r="46" spans="1:9" ht="15.75" customHeight="1">
      <c r="A46" s="5">
        <v>700025400</v>
      </c>
      <c r="B46" s="5">
        <v>7000059</v>
      </c>
      <c r="C46" s="5" t="s">
        <v>9</v>
      </c>
      <c r="D46" s="5">
        <v>0.63</v>
      </c>
      <c r="E46" s="5">
        <f t="shared" si="5"/>
        <v>1</v>
      </c>
      <c r="F46" s="5">
        <v>0.98</v>
      </c>
      <c r="G46" s="5">
        <f t="shared" si="6"/>
        <v>1</v>
      </c>
      <c r="H46" s="5">
        <v>1</v>
      </c>
      <c r="I46" s="5" t="str">
        <f>IF(AVERAGE(E46,G46)=H46,"COINCIDE",IF(G46=H46,"INCONGRUENTE","DISTINTO"))</f>
        <v>COINCIDE</v>
      </c>
    </row>
    <row r="47" spans="1:9" ht="15.75" customHeight="1">
      <c r="A47" s="5">
        <v>700042400</v>
      </c>
      <c r="B47" s="5">
        <v>7000060</v>
      </c>
      <c r="C47" s="5" t="s">
        <v>9</v>
      </c>
      <c r="D47" s="12">
        <v>0.98099999999999998</v>
      </c>
      <c r="E47" s="5">
        <f t="shared" si="5"/>
        <v>1</v>
      </c>
      <c r="F47" s="5">
        <v>2</v>
      </c>
      <c r="G47" s="5">
        <f t="shared" si="6"/>
        <v>1</v>
      </c>
      <c r="H47" s="5">
        <v>1</v>
      </c>
      <c r="I47" s="5" t="str">
        <f>IF(AVERAGE(E47,G47)=H47,"COINCIDE",IF(G47=H47,"INCONGRUENTE","DISTINTO"))</f>
        <v>COINCIDE</v>
      </c>
    </row>
    <row r="48" spans="1:9" ht="15.75" customHeight="1">
      <c r="A48" s="5">
        <v>700026400</v>
      </c>
      <c r="B48" s="5">
        <v>7000061</v>
      </c>
      <c r="C48" s="5" t="s">
        <v>9</v>
      </c>
      <c r="D48" s="12">
        <v>0.45</v>
      </c>
      <c r="E48" s="5">
        <f t="shared" si="5"/>
        <v>1</v>
      </c>
      <c r="F48" s="12">
        <v>0.45100000000000001</v>
      </c>
      <c r="G48" s="5">
        <f t="shared" si="6"/>
        <v>1</v>
      </c>
      <c r="H48" s="5">
        <v>1</v>
      </c>
      <c r="I48" s="5" t="str">
        <f>IF(AVERAGE(E48,G48)=H48,"COINCIDE",IF(G48=H48,"INCONGRUENTE","DISTINTO"))</f>
        <v>COINCIDE</v>
      </c>
    </row>
    <row r="49" spans="1:9" ht="15.75" customHeight="1">
      <c r="A49" s="5">
        <v>700042000</v>
      </c>
      <c r="B49" s="5">
        <v>7000062</v>
      </c>
      <c r="C49" s="5" t="s">
        <v>9</v>
      </c>
      <c r="D49" s="12">
        <v>1.49</v>
      </c>
      <c r="E49" s="5">
        <f t="shared" si="5"/>
        <v>1</v>
      </c>
      <c r="F49" s="5">
        <v>2</v>
      </c>
      <c r="G49" s="5">
        <f t="shared" si="6"/>
        <v>1</v>
      </c>
      <c r="H49" s="5">
        <v>1</v>
      </c>
      <c r="I49" s="5" t="str">
        <f>IF(AVERAGE(E49,G49)=H49,"COINCIDE",IF(G49=H49,"INCONGRUENTE","DISTINTO"))</f>
        <v>COINCIDE</v>
      </c>
    </row>
    <row r="50" spans="1:9" ht="15.75" customHeight="1">
      <c r="A50" s="5">
        <v>700047500</v>
      </c>
      <c r="B50" s="5">
        <v>7000063</v>
      </c>
      <c r="C50" s="5" t="s">
        <v>9</v>
      </c>
      <c r="D50" s="5">
        <v>1.77</v>
      </c>
      <c r="E50" s="5">
        <f t="shared" si="5"/>
        <v>1</v>
      </c>
      <c r="F50" s="5">
        <v>3</v>
      </c>
      <c r="G50" s="5">
        <f t="shared" si="6"/>
        <v>1</v>
      </c>
      <c r="H50" s="5">
        <v>1</v>
      </c>
      <c r="I50" s="5" t="str">
        <f>IF(AVERAGE(E50,G50)=H50,"COINCIDE",IF(G50=H50,"INCONGRUENTE","DISTINTO"))</f>
        <v>COINCIDE</v>
      </c>
    </row>
    <row r="51" spans="1:9" ht="15.75" customHeight="1">
      <c r="A51" s="5">
        <v>700027600</v>
      </c>
      <c r="B51" s="5">
        <v>7000064</v>
      </c>
      <c r="C51" s="5" t="s">
        <v>9</v>
      </c>
      <c r="D51" s="12">
        <v>0.92</v>
      </c>
      <c r="E51" s="5">
        <f t="shared" si="5"/>
        <v>1</v>
      </c>
      <c r="F51" s="5">
        <v>1</v>
      </c>
      <c r="G51" s="5">
        <f t="shared" si="6"/>
        <v>1</v>
      </c>
      <c r="H51" s="5">
        <v>1</v>
      </c>
      <c r="I51" s="5" t="str">
        <f>IF(AVERAGE(E51,G51)=H51,"COINCIDE",IF(G51=H51,"INCONGRUENTE","DISTINTO"))</f>
        <v>COINCIDE</v>
      </c>
    </row>
    <row r="52" spans="1:9" ht="15.75" customHeight="1">
      <c r="A52" s="5">
        <v>700026700</v>
      </c>
      <c r="B52" s="5">
        <v>7000065</v>
      </c>
      <c r="C52" s="5" t="s">
        <v>9</v>
      </c>
      <c r="D52" s="5">
        <v>0.45</v>
      </c>
      <c r="E52" s="5">
        <f t="shared" si="5"/>
        <v>1</v>
      </c>
      <c r="F52" s="12">
        <v>0.52</v>
      </c>
      <c r="G52" s="5">
        <f t="shared" si="6"/>
        <v>1</v>
      </c>
      <c r="H52" s="5">
        <v>1</v>
      </c>
      <c r="I52" s="5" t="str">
        <f>IF(AVERAGE(E52,G52)=H52,"COINCIDE",IF(G52=H52,"INCONGRUENTE","DISTINTO"))</f>
        <v>COINCIDE</v>
      </c>
    </row>
    <row r="53" spans="1:9" ht="15.75" customHeight="1">
      <c r="A53" s="5">
        <v>700061600</v>
      </c>
      <c r="B53" s="5">
        <v>7000066</v>
      </c>
      <c r="C53" s="5" t="s">
        <v>9</v>
      </c>
      <c r="D53" s="12">
        <v>1.24</v>
      </c>
      <c r="E53" s="5">
        <f t="shared" si="5"/>
        <v>1</v>
      </c>
      <c r="F53" s="5">
        <v>2</v>
      </c>
      <c r="G53" s="5">
        <f t="shared" si="6"/>
        <v>1</v>
      </c>
      <c r="H53" s="5">
        <v>1</v>
      </c>
      <c r="I53" s="5" t="str">
        <f>IF(AVERAGE(E53,G53)=H53,"COINCIDE",IF(G53=H53,"INCONGRUENTE","DISTINTO"))</f>
        <v>COINCIDE</v>
      </c>
    </row>
    <row r="54" spans="1:9" ht="15.75" customHeight="1">
      <c r="A54" s="5">
        <v>700002500</v>
      </c>
      <c r="B54" s="5">
        <v>7000086</v>
      </c>
      <c r="C54" s="5" t="s">
        <v>9</v>
      </c>
      <c r="D54" s="5">
        <v>2.08</v>
      </c>
      <c r="E54" s="5">
        <f t="shared" si="5"/>
        <v>1</v>
      </c>
      <c r="F54" s="5">
        <v>3</v>
      </c>
      <c r="G54" s="5">
        <f t="shared" si="6"/>
        <v>1</v>
      </c>
      <c r="H54" s="5">
        <v>1</v>
      </c>
      <c r="I54" s="5" t="str">
        <f>IF(AVERAGE(E54,G54)=H54,"COINCIDE",IF(G54=H54,"INCONGRUENTE","DISTINTO"))</f>
        <v>COINCIDE</v>
      </c>
    </row>
    <row r="55" spans="1:9" ht="15.75" customHeight="1">
      <c r="A55" s="5">
        <v>700060300</v>
      </c>
      <c r="B55" s="5">
        <v>7000088</v>
      </c>
      <c r="C55" s="5" t="s">
        <v>9</v>
      </c>
      <c r="D55" s="12">
        <v>1.29</v>
      </c>
      <c r="E55" s="5">
        <f t="shared" si="5"/>
        <v>1</v>
      </c>
      <c r="F55" s="5">
        <v>2</v>
      </c>
      <c r="G55" s="5">
        <f t="shared" si="6"/>
        <v>1</v>
      </c>
      <c r="H55" s="5">
        <v>1</v>
      </c>
      <c r="I55" s="5" t="str">
        <f>IF(AVERAGE(E55,G55)=H55,"COINCIDE",IF(G55=H55,"INCONGRUENTE","DISTINTO"))</f>
        <v>COINCIDE</v>
      </c>
    </row>
    <row r="56" spans="1:9" ht="15.75" customHeight="1">
      <c r="A56" s="16">
        <v>700045800</v>
      </c>
      <c r="B56" s="16">
        <v>7000089</v>
      </c>
      <c r="C56" s="16" t="s">
        <v>9</v>
      </c>
      <c r="D56" s="17">
        <v>1.62</v>
      </c>
      <c r="E56" s="16">
        <f t="shared" si="5"/>
        <v>1</v>
      </c>
      <c r="F56" s="16">
        <v>2</v>
      </c>
      <c r="G56" s="16">
        <f t="shared" si="6"/>
        <v>1</v>
      </c>
      <c r="H56" s="17">
        <v>2</v>
      </c>
      <c r="I56" s="16" t="str">
        <f>IF(AVERAGE(E56,G56)=H56,"COINCIDE",IF(G56=H56,"INCONGRUENTE","DISTINTO"))</f>
        <v>DISTINTO</v>
      </c>
    </row>
    <row r="57" spans="1:9" ht="15.75" customHeight="1">
      <c r="A57" s="5">
        <v>700026500</v>
      </c>
      <c r="B57" s="5">
        <v>7000090</v>
      </c>
      <c r="C57" s="5" t="s">
        <v>9</v>
      </c>
      <c r="D57" s="12">
        <v>0.39300000000000002</v>
      </c>
      <c r="E57" s="5">
        <f t="shared" si="5"/>
        <v>1</v>
      </c>
      <c r="F57" s="5">
        <v>0.95</v>
      </c>
      <c r="G57" s="5">
        <f t="shared" si="6"/>
        <v>1</v>
      </c>
      <c r="H57" s="5">
        <v>1</v>
      </c>
      <c r="I57" s="5" t="str">
        <f>IF(AVERAGE(E57,G57)=H57,"COINCIDE",IF(G57=H57,"INCONGRUENTE","DISTINTO"))</f>
        <v>COINCIDE</v>
      </c>
    </row>
    <row r="58" spans="1:9" ht="15.75" customHeight="1">
      <c r="A58" s="5">
        <v>700010600</v>
      </c>
      <c r="B58" s="5">
        <v>7000091</v>
      </c>
      <c r="C58" s="5" t="s">
        <v>9</v>
      </c>
      <c r="D58" s="12">
        <v>1.07</v>
      </c>
      <c r="E58" s="5">
        <f t="shared" si="5"/>
        <v>1</v>
      </c>
      <c r="F58" s="5">
        <v>2</v>
      </c>
      <c r="G58" s="5">
        <f t="shared" si="6"/>
        <v>1</v>
      </c>
      <c r="H58" s="5">
        <v>1</v>
      </c>
      <c r="I58" s="5" t="str">
        <f>IF(AVERAGE(E58,G58)=H58,"COINCIDE",IF(G58=H58,"INCONGRUENTE","DISTINTO"))</f>
        <v>COINCIDE</v>
      </c>
    </row>
    <row r="59" spans="1:9" ht="15.75" customHeight="1">
      <c r="A59" s="5">
        <v>700002300</v>
      </c>
      <c r="B59" s="5">
        <v>7000093</v>
      </c>
      <c r="C59" s="5" t="s">
        <v>9</v>
      </c>
      <c r="D59" s="12">
        <v>1.76</v>
      </c>
      <c r="E59" s="5">
        <f t="shared" si="5"/>
        <v>1</v>
      </c>
      <c r="F59" s="5">
        <v>2</v>
      </c>
      <c r="G59" s="5">
        <f t="shared" si="6"/>
        <v>1</v>
      </c>
      <c r="H59" s="5">
        <v>1</v>
      </c>
      <c r="I59" s="5" t="str">
        <f>IF(AVERAGE(E59,G59)=H59,"COINCIDE",IF(G59=H59,"INCONGRUENTE","DISTINTO"))</f>
        <v>COINCIDE</v>
      </c>
    </row>
    <row r="60" spans="1:9" ht="15.75" customHeight="1">
      <c r="A60" s="14">
        <v>700027800</v>
      </c>
      <c r="B60" s="14">
        <v>7000094</v>
      </c>
      <c r="C60" s="14" t="s">
        <v>9</v>
      </c>
      <c r="D60" s="15">
        <v>3.73</v>
      </c>
      <c r="E60" s="14">
        <f t="shared" si="5"/>
        <v>1</v>
      </c>
      <c r="F60" s="14">
        <v>5</v>
      </c>
      <c r="G60" s="14">
        <f t="shared" si="6"/>
        <v>2</v>
      </c>
      <c r="H60" s="15">
        <v>2</v>
      </c>
      <c r="I60" s="14" t="str">
        <f>IF(AVERAGE(E60,G60)=H60,"COINCIDE",IF(G60=H60,"INCONGRUENTE",IF(H60=7,"COINCIDE","DISTINTO")))</f>
        <v>INCONGRUENTE</v>
      </c>
    </row>
    <row r="61" spans="1:9" ht="15.75" customHeight="1">
      <c r="A61" s="9">
        <v>700027400</v>
      </c>
      <c r="B61" s="9">
        <v>7000095</v>
      </c>
      <c r="C61" s="9" t="s">
        <v>9</v>
      </c>
      <c r="D61" s="18">
        <v>3.87</v>
      </c>
      <c r="E61" s="9">
        <f t="shared" si="5"/>
        <v>1</v>
      </c>
      <c r="F61" s="9">
        <v>5</v>
      </c>
      <c r="G61" s="9">
        <f t="shared" si="6"/>
        <v>2</v>
      </c>
      <c r="H61" s="9">
        <v>1</v>
      </c>
      <c r="I61" s="9" t="str">
        <f>IF(AVERAGE(E61,G61)=H61,"COINCIDE",IF(G61=H61,"INCONGRUENTE",IF(H61=7,"COINCIDE","DISTINTO")))</f>
        <v>DISTINTO</v>
      </c>
    </row>
    <row r="62" spans="1:9" ht="15.75" customHeight="1">
      <c r="A62" s="5">
        <v>700061500</v>
      </c>
      <c r="B62" s="5">
        <v>7000097</v>
      </c>
      <c r="C62" s="5" t="s">
        <v>9</v>
      </c>
      <c r="D62" s="5">
        <v>2.5299999999999998</v>
      </c>
      <c r="E62" s="5">
        <f t="shared" si="5"/>
        <v>1</v>
      </c>
      <c r="F62" s="5">
        <v>3</v>
      </c>
      <c r="G62" s="5">
        <f t="shared" si="6"/>
        <v>1</v>
      </c>
      <c r="H62" s="5">
        <v>1</v>
      </c>
      <c r="I62" s="5" t="str">
        <f>IF(AVERAGE(E62,G62)=H62,"COINCIDE",IF(G62=H62,"INCONGRUENTE","DISTINTO"))</f>
        <v>COINCIDE</v>
      </c>
    </row>
    <row r="63" spans="1:9" ht="15" customHeight="1">
      <c r="A63" s="5">
        <v>700031100</v>
      </c>
      <c r="B63" s="5">
        <v>7000098</v>
      </c>
      <c r="C63" s="5" t="s">
        <v>9</v>
      </c>
      <c r="D63" s="12">
        <v>2.91</v>
      </c>
      <c r="E63" s="5">
        <f t="shared" si="5"/>
        <v>1</v>
      </c>
      <c r="F63" s="5">
        <v>3</v>
      </c>
      <c r="G63" s="5">
        <f t="shared" si="6"/>
        <v>1</v>
      </c>
      <c r="H63" s="5">
        <v>1</v>
      </c>
      <c r="I63" s="5" t="str">
        <f>IF(AVERAGE(E63,G63)=H63,"COINCIDE",IF(G63=H63,"INCONGRUENTE","DISTINTO"))</f>
        <v>COINCIDE</v>
      </c>
    </row>
    <row r="64" spans="1:9" ht="15.75" customHeight="1">
      <c r="A64" s="5">
        <v>700003000</v>
      </c>
      <c r="B64" s="5">
        <v>7000101</v>
      </c>
      <c r="C64" s="5" t="s">
        <v>9</v>
      </c>
      <c r="D64" s="5">
        <v>2.35</v>
      </c>
      <c r="E64" s="5">
        <f t="shared" si="5"/>
        <v>1</v>
      </c>
      <c r="F64" s="5">
        <v>3</v>
      </c>
      <c r="G64" s="5">
        <f t="shared" si="6"/>
        <v>1</v>
      </c>
      <c r="H64" s="5">
        <v>1</v>
      </c>
      <c r="I64" s="5" t="str">
        <f>IF(AVERAGE(E64,G64)=H64,"COINCIDE",IF(G64=H64,"INCONGRUENTE","DISTINTO"))</f>
        <v>COINCIDE</v>
      </c>
    </row>
    <row r="65" spans="1:9" ht="15.75" customHeight="1">
      <c r="A65" s="5">
        <v>700031300</v>
      </c>
      <c r="B65" s="5">
        <v>7000102</v>
      </c>
      <c r="C65" s="5" t="s">
        <v>9</v>
      </c>
      <c r="D65" s="5">
        <v>2.25</v>
      </c>
      <c r="E65" s="5">
        <f t="shared" si="5"/>
        <v>1</v>
      </c>
      <c r="F65" s="5">
        <v>3</v>
      </c>
      <c r="G65" s="5">
        <f t="shared" si="6"/>
        <v>1</v>
      </c>
      <c r="H65" s="5">
        <v>1</v>
      </c>
      <c r="I65" s="5" t="str">
        <f>IF(AVERAGE(E65,G65)=H65,"COINCIDE",IF(G65=H65,"INCONGRUENTE","DISTINTO"))</f>
        <v>COINCIDE</v>
      </c>
    </row>
    <row r="66" spans="1:9" ht="15.75" customHeight="1">
      <c r="A66" s="5">
        <v>700060100</v>
      </c>
      <c r="B66" s="5">
        <v>7000106</v>
      </c>
      <c r="C66" s="5" t="s">
        <v>9</v>
      </c>
      <c r="D66" s="12">
        <v>2.1</v>
      </c>
      <c r="E66" s="5">
        <f t="shared" si="5"/>
        <v>1</v>
      </c>
      <c r="F66" s="5">
        <v>3</v>
      </c>
      <c r="G66" s="5">
        <f t="shared" si="6"/>
        <v>1</v>
      </c>
      <c r="H66" s="5">
        <v>1</v>
      </c>
      <c r="I66" s="5" t="str">
        <f>IF(AVERAGE(E66,G66)=H66,"COINCIDE",IF(G66=H66,"INCONGRUENTE","DISTINTO"))</f>
        <v>COINCIDE</v>
      </c>
    </row>
    <row r="67" spans="1:9" ht="15.75" customHeight="1">
      <c r="A67" s="5">
        <v>700061400</v>
      </c>
      <c r="B67" s="5">
        <v>7000107</v>
      </c>
      <c r="C67" s="5" t="s">
        <v>9</v>
      </c>
      <c r="D67" s="12">
        <v>2.42</v>
      </c>
      <c r="E67" s="5">
        <f t="shared" si="5"/>
        <v>1</v>
      </c>
      <c r="F67" s="5">
        <v>4</v>
      </c>
      <c r="G67" s="5">
        <f t="shared" si="6"/>
        <v>1</v>
      </c>
      <c r="H67" s="5">
        <v>1</v>
      </c>
      <c r="I67" s="5" t="str">
        <f>IF(AVERAGE(E67,G67)=H67,"COINCIDE",IF(G67=H67,"INCONGRUENTE","DISTINTO"))</f>
        <v>COINCIDE</v>
      </c>
    </row>
    <row r="68" spans="1:9" ht="15" customHeight="1">
      <c r="A68" s="5">
        <v>700058000</v>
      </c>
      <c r="B68" s="5">
        <v>7000109</v>
      </c>
      <c r="C68" s="5" t="s">
        <v>9</v>
      </c>
      <c r="D68" s="12">
        <v>3.1</v>
      </c>
      <c r="E68" s="5">
        <f t="shared" si="5"/>
        <v>1</v>
      </c>
      <c r="F68" s="5">
        <v>4</v>
      </c>
      <c r="G68" s="5">
        <f t="shared" si="6"/>
        <v>1</v>
      </c>
      <c r="H68" s="5">
        <v>1</v>
      </c>
      <c r="I68" s="5" t="str">
        <f>IF(AVERAGE(E68,G68)=H68,"COINCIDE",IF(G68=H68,"INCONGRUENTE","DISTINTO"))</f>
        <v>COINCIDE</v>
      </c>
    </row>
    <row r="69" spans="1:9" ht="15.75" customHeight="1">
      <c r="A69" s="5">
        <v>700027700</v>
      </c>
      <c r="B69" s="5">
        <v>7000110</v>
      </c>
      <c r="C69" s="5" t="s">
        <v>9</v>
      </c>
      <c r="D69" s="12">
        <v>3</v>
      </c>
      <c r="E69" s="5">
        <f t="shared" si="5"/>
        <v>1</v>
      </c>
      <c r="F69" s="5">
        <v>4</v>
      </c>
      <c r="G69" s="5">
        <f t="shared" si="6"/>
        <v>1</v>
      </c>
      <c r="H69" s="5">
        <v>1</v>
      </c>
      <c r="I69" s="5" t="str">
        <f>IF(AVERAGE(E69,G69)=H69,"COINCIDE",IF(G69=H69,"INCONGRUENTE","DISTINTO"))</f>
        <v>COINCIDE</v>
      </c>
    </row>
    <row r="70" spans="1:9" ht="16.5" customHeight="1">
      <c r="A70" s="19">
        <v>700027100</v>
      </c>
      <c r="B70" s="19">
        <v>7000113</v>
      </c>
      <c r="C70" s="20" t="s">
        <v>9</v>
      </c>
      <c r="D70" s="21">
        <v>3.42</v>
      </c>
      <c r="E70" s="20">
        <f t="shared" si="5"/>
        <v>1</v>
      </c>
      <c r="F70" s="21">
        <v>4</v>
      </c>
      <c r="G70" s="20">
        <f t="shared" si="6"/>
        <v>1</v>
      </c>
      <c r="H70" s="21">
        <v>1</v>
      </c>
      <c r="I70" s="20" t="str">
        <f>IF(AVERAGE(E70,G70)=H70,"COINCIDE",IF(G70=H70,"INCONGRUENTE","DISTINTO"))</f>
        <v>COINCIDE</v>
      </c>
    </row>
    <row r="71" spans="1:9" ht="15.75" customHeight="1">
      <c r="A71" s="5">
        <v>700011900</v>
      </c>
      <c r="B71" s="5">
        <v>7000114</v>
      </c>
      <c r="C71" s="5" t="s">
        <v>9</v>
      </c>
      <c r="D71" s="12">
        <v>2.38</v>
      </c>
      <c r="E71" s="5">
        <f t="shared" si="5"/>
        <v>1</v>
      </c>
      <c r="F71" s="5">
        <v>3</v>
      </c>
      <c r="G71" s="5">
        <f t="shared" si="6"/>
        <v>1</v>
      </c>
      <c r="H71" s="5">
        <v>1</v>
      </c>
      <c r="I71" s="5" t="str">
        <f>IF(AVERAGE(E71,G71)=H71,"COINCIDE",IF(G71=H71,"INCONGRUENTE","DISTINTO"))</f>
        <v>COINCIDE</v>
      </c>
    </row>
    <row r="72" spans="1:9" ht="15.75" customHeight="1">
      <c r="A72" s="5">
        <v>700058300</v>
      </c>
      <c r="B72" s="5">
        <v>7000115</v>
      </c>
      <c r="C72" s="5" t="s">
        <v>9</v>
      </c>
      <c r="D72" s="12">
        <v>1.71</v>
      </c>
      <c r="E72" s="5">
        <f t="shared" si="5"/>
        <v>1</v>
      </c>
      <c r="F72" s="5">
        <v>2</v>
      </c>
      <c r="G72" s="5">
        <f t="shared" si="6"/>
        <v>1</v>
      </c>
      <c r="H72" s="5">
        <v>1</v>
      </c>
      <c r="I72" s="5" t="str">
        <f>IF(AVERAGE(E72,G72)=H72,"COINCIDE",IF(G72=H72,"INCONGRUENTE","DISTINTO"))</f>
        <v>COINCIDE</v>
      </c>
    </row>
    <row r="73" spans="1:9" ht="15.75" customHeight="1">
      <c r="A73" s="5">
        <v>700045600</v>
      </c>
      <c r="B73" s="5">
        <v>7000116</v>
      </c>
      <c r="C73" s="5" t="s">
        <v>9</v>
      </c>
      <c r="D73" s="12">
        <v>1.65</v>
      </c>
      <c r="E73" s="5">
        <f t="shared" si="5"/>
        <v>1</v>
      </c>
      <c r="F73" s="5">
        <v>2</v>
      </c>
      <c r="G73" s="5">
        <f t="shared" si="6"/>
        <v>1</v>
      </c>
      <c r="H73" s="5">
        <v>1</v>
      </c>
      <c r="I73" s="5" t="str">
        <f>IF(AVERAGE(E73,G73)=H73,"COINCIDE",IF(G73=H73,"INCONGRUENTE","DISTINTO"))</f>
        <v>COINCIDE</v>
      </c>
    </row>
    <row r="74" spans="1:9" ht="15.75" customHeight="1">
      <c r="A74" s="5">
        <v>700033400</v>
      </c>
      <c r="B74" s="5">
        <v>7000117</v>
      </c>
      <c r="C74" s="5" t="s">
        <v>9</v>
      </c>
      <c r="D74" s="12">
        <v>2</v>
      </c>
      <c r="E74" s="5">
        <f t="shared" si="5"/>
        <v>1</v>
      </c>
      <c r="F74" s="12">
        <v>2</v>
      </c>
      <c r="G74" s="5">
        <f t="shared" si="6"/>
        <v>1</v>
      </c>
      <c r="H74" s="5">
        <v>1</v>
      </c>
      <c r="I74" s="5" t="str">
        <f>IF(AVERAGE(E74,G74)=H74,"COINCIDE",IF(G74=H74,"INCONGRUENTE","DISTINTO"))</f>
        <v>COINCIDE</v>
      </c>
    </row>
    <row r="75" spans="1:9" ht="14.25" customHeight="1">
      <c r="A75" s="5">
        <v>700045900</v>
      </c>
      <c r="B75" s="5">
        <v>7000118</v>
      </c>
      <c r="C75" s="5" t="s">
        <v>9</v>
      </c>
      <c r="D75" s="12">
        <v>1.1399999999999999</v>
      </c>
      <c r="E75" s="5">
        <f t="shared" si="5"/>
        <v>1</v>
      </c>
      <c r="F75" s="5">
        <v>2</v>
      </c>
      <c r="G75" s="5">
        <f t="shared" si="6"/>
        <v>1</v>
      </c>
      <c r="H75" s="5">
        <v>1</v>
      </c>
      <c r="I75" s="5" t="str">
        <f>IF(AVERAGE(E75,G75)=H75,"COINCIDE",IF(G75=H75,"INCONGRUENTE","DISTINTO"))</f>
        <v>COINCIDE</v>
      </c>
    </row>
    <row r="76" spans="1:9" ht="16.5" customHeight="1">
      <c r="A76" s="5">
        <v>700060700</v>
      </c>
      <c r="B76" s="5">
        <v>7000119</v>
      </c>
      <c r="C76" s="5" t="s">
        <v>9</v>
      </c>
      <c r="D76" s="12">
        <v>2.19</v>
      </c>
      <c r="E76" s="5">
        <f t="shared" si="5"/>
        <v>1</v>
      </c>
      <c r="F76" s="5">
        <v>3</v>
      </c>
      <c r="G76" s="5">
        <f t="shared" si="6"/>
        <v>1</v>
      </c>
      <c r="H76" s="5">
        <v>1</v>
      </c>
      <c r="I76" s="5" t="str">
        <f>IF(AVERAGE(E76,G76)=H76,"COINCIDE",IF(G76=H76,"INCONGRUENTE","DISTINTO"))</f>
        <v>COINCIDE</v>
      </c>
    </row>
    <row r="77" spans="1:9" ht="15.75" customHeight="1">
      <c r="A77" s="22">
        <v>700036700</v>
      </c>
      <c r="B77" s="22">
        <v>7000125</v>
      </c>
      <c r="C77" s="22" t="s">
        <v>12</v>
      </c>
      <c r="D77" s="22">
        <v>0.26100000000000001</v>
      </c>
      <c r="E77" s="22">
        <f t="shared" ref="E77:E80" si="7">IF(D77&lt;=2,3,IF(D77&lt;=40,4,IF(D77&lt;=80,5,6)))</f>
        <v>3</v>
      </c>
      <c r="F77" s="22">
        <v>0.68899999999999995</v>
      </c>
      <c r="G77" s="22">
        <f t="shared" ref="G77:G80" si="8">IF(F77&lt;=2,3,IF(F77&lt;=40,4,IF(F77&lt;=80,5,6)))</f>
        <v>3</v>
      </c>
      <c r="H77" s="22">
        <v>3</v>
      </c>
      <c r="I77" s="22" t="str">
        <f>IF(AVERAGE(E77,G77)=H77,"COINCIDE",IF(G77=H77,"INCONGRUENTE",IF(H77=7,"COINCIDE","DISTINTO")))</f>
        <v>COINCIDE</v>
      </c>
    </row>
    <row r="78" spans="1:9" ht="15.75" customHeight="1">
      <c r="A78" s="22">
        <v>700039800</v>
      </c>
      <c r="B78" s="22">
        <v>7000126</v>
      </c>
      <c r="C78" s="22" t="s">
        <v>12</v>
      </c>
      <c r="D78" s="22">
        <v>0.9</v>
      </c>
      <c r="E78" s="22">
        <f t="shared" si="7"/>
        <v>3</v>
      </c>
      <c r="F78" s="22">
        <v>1</v>
      </c>
      <c r="G78" s="22">
        <f t="shared" si="8"/>
        <v>3</v>
      </c>
      <c r="H78" s="22">
        <v>3</v>
      </c>
      <c r="I78" s="22" t="str">
        <f>IF(AVERAGE(E78,G78)=H78,"COINCIDE",IF(G78=H78,"INCONGRUENTE",IF(H78=7,"COINCIDE","DISTINTO")))</f>
        <v>COINCIDE</v>
      </c>
    </row>
    <row r="79" spans="1:9" ht="15.75" customHeight="1">
      <c r="A79" s="22">
        <v>700036300</v>
      </c>
      <c r="B79" s="22">
        <v>7000128</v>
      </c>
      <c r="C79" s="22" t="s">
        <v>12</v>
      </c>
      <c r="D79" s="22">
        <v>0.78200000000000003</v>
      </c>
      <c r="E79" s="22">
        <f t="shared" si="7"/>
        <v>3</v>
      </c>
      <c r="F79" s="22">
        <v>1</v>
      </c>
      <c r="G79" s="22">
        <f t="shared" si="8"/>
        <v>3</v>
      </c>
      <c r="H79" s="22">
        <v>3</v>
      </c>
      <c r="I79" s="22" t="str">
        <f>IF(AVERAGE(E79,G79)=H79,"COINCIDE",IF(G79=H79,"INCONGRUENTE",IF(H79=7,"COINCIDE","DISTINTO")))</f>
        <v>COINCIDE</v>
      </c>
    </row>
    <row r="80" spans="1:9" ht="15.75" customHeight="1">
      <c r="A80" s="6">
        <v>700055800</v>
      </c>
      <c r="B80" s="6">
        <v>7000129</v>
      </c>
      <c r="C80" s="12" t="s">
        <v>9</v>
      </c>
      <c r="D80" s="23">
        <v>28.7</v>
      </c>
      <c r="E80" s="6">
        <f t="shared" si="7"/>
        <v>4</v>
      </c>
      <c r="F80" s="23">
        <v>36</v>
      </c>
      <c r="G80" s="6">
        <f t="shared" si="8"/>
        <v>4</v>
      </c>
      <c r="H80" s="6">
        <v>4</v>
      </c>
      <c r="I80" s="6" t="str">
        <f>IF(AVERAGE(E80,G80)=H80,"COINCIDE",IF(G80=H80,"INCONGRUENTE",IF(H80=7,"COINCIDE","DISTINTO")))</f>
        <v>COINCIDE</v>
      </c>
    </row>
    <row r="81" spans="1:9" ht="15.75" customHeight="1">
      <c r="A81" s="12">
        <v>700021700</v>
      </c>
      <c r="B81" s="12">
        <v>7000133</v>
      </c>
      <c r="C81" s="12" t="s">
        <v>9</v>
      </c>
      <c r="D81" s="12">
        <v>82.7</v>
      </c>
      <c r="E81" s="23">
        <v>6</v>
      </c>
      <c r="F81" s="12">
        <v>103</v>
      </c>
      <c r="G81" s="23">
        <v>6</v>
      </c>
      <c r="H81" s="12">
        <v>6</v>
      </c>
      <c r="I81" s="12" t="s">
        <v>10</v>
      </c>
    </row>
    <row r="82" spans="1:9" ht="15.75" customHeight="1">
      <c r="A82" s="22">
        <v>700040300</v>
      </c>
      <c r="B82" s="22">
        <v>7000134</v>
      </c>
      <c r="C82" s="22" t="s">
        <v>12</v>
      </c>
      <c r="D82" s="22">
        <v>0.96499999999999997</v>
      </c>
      <c r="E82" s="24">
        <f t="shared" ref="E82:E98" si="9">IF(D82&lt;=2,3,IF(D82&lt;=40,4,IF(D82&lt;=80,5,6)))</f>
        <v>3</v>
      </c>
      <c r="F82" s="22">
        <v>2</v>
      </c>
      <c r="G82" s="24">
        <f t="shared" ref="G82:G98" si="10">IF(F82&lt;=2,3,IF(F82&lt;=40,4,IF(F82&lt;=80,5,6)))</f>
        <v>3</v>
      </c>
      <c r="H82" s="22">
        <v>3</v>
      </c>
      <c r="I82" s="22" t="str">
        <f>IF(AVERAGE(E82,G82)=H82,"COINCIDE",IF(G82=H82,"INCONGRUENTE",IF(H82=7,"COINCIDE","DISTINTO")))</f>
        <v>COINCIDE</v>
      </c>
    </row>
    <row r="83" spans="1:9" ht="15.75" customHeight="1">
      <c r="A83" s="22">
        <v>700040200</v>
      </c>
      <c r="B83" s="22">
        <v>7000135</v>
      </c>
      <c r="C83" s="22" t="s">
        <v>12</v>
      </c>
      <c r="D83" s="22">
        <v>1.02</v>
      </c>
      <c r="E83" s="24">
        <f t="shared" si="9"/>
        <v>3</v>
      </c>
      <c r="F83" s="22">
        <v>1</v>
      </c>
      <c r="G83" s="24">
        <f t="shared" si="10"/>
        <v>3</v>
      </c>
      <c r="H83" s="22">
        <v>3</v>
      </c>
      <c r="I83" s="22" t="str">
        <f>IF(AVERAGE(E83,G83)=H83,"COINCIDE",IF(G83=H83,"INCONGRUENTE",IF(H83=7,"COINCIDE","DISTINTO")))</f>
        <v>COINCIDE</v>
      </c>
    </row>
    <row r="84" spans="1:9" ht="15.75" customHeight="1">
      <c r="A84" s="5">
        <v>700018600</v>
      </c>
      <c r="B84" s="5">
        <v>7000136</v>
      </c>
      <c r="C84" s="12" t="s">
        <v>9</v>
      </c>
      <c r="D84" s="12">
        <v>24.2</v>
      </c>
      <c r="E84" s="6">
        <f t="shared" si="9"/>
        <v>4</v>
      </c>
      <c r="F84" s="12">
        <v>31</v>
      </c>
      <c r="G84" s="6">
        <f t="shared" si="10"/>
        <v>4</v>
      </c>
      <c r="H84" s="5">
        <v>4</v>
      </c>
      <c r="I84" s="5" t="str">
        <f>IF(AVERAGE(E84,G84)=H84,"COINCIDE",IF(G84=H84,"INCONGRUENTE",IF(H84=7,"COINCIDE","DISTINTO")))</f>
        <v>COINCIDE</v>
      </c>
    </row>
    <row r="85" spans="1:9" ht="15.75" customHeight="1">
      <c r="A85" s="5">
        <v>700021800</v>
      </c>
      <c r="B85" s="5">
        <v>7000137</v>
      </c>
      <c r="C85" s="12" t="s">
        <v>9</v>
      </c>
      <c r="D85" s="5">
        <v>95</v>
      </c>
      <c r="E85" s="6">
        <f t="shared" si="9"/>
        <v>6</v>
      </c>
      <c r="F85" s="5">
        <v>113</v>
      </c>
      <c r="G85" s="6">
        <f t="shared" si="10"/>
        <v>6</v>
      </c>
      <c r="H85" s="5">
        <v>7</v>
      </c>
      <c r="I85" s="5" t="str">
        <f>IF(AVERAGE(E85,G85)=H85,"COINCIDE",IF(G85=H85,"INCONGRUENTE",IF(H85=7,"COINCIDE","DISTINTO")))</f>
        <v>COINCIDE</v>
      </c>
    </row>
    <row r="86" spans="1:9" ht="15.75" customHeight="1">
      <c r="A86" s="5">
        <v>700008900</v>
      </c>
      <c r="B86" s="5">
        <v>7000138</v>
      </c>
      <c r="C86" s="12" t="s">
        <v>9</v>
      </c>
      <c r="D86" s="12">
        <v>23.4</v>
      </c>
      <c r="E86" s="6">
        <f t="shared" si="9"/>
        <v>4</v>
      </c>
      <c r="F86" s="12">
        <v>30</v>
      </c>
      <c r="G86" s="6">
        <f t="shared" si="10"/>
        <v>4</v>
      </c>
      <c r="H86" s="5">
        <v>4</v>
      </c>
      <c r="I86" s="5" t="str">
        <f>IF(AVERAGE(E86,G86)=H86,"COINCIDE",IF(G86=H86,"INCONGRUENTE",IF(H86=7,"COINCIDE","DISTINTO")))</f>
        <v>COINCIDE</v>
      </c>
    </row>
    <row r="87" spans="1:9" ht="15.75" customHeight="1">
      <c r="A87" s="5">
        <v>700009000</v>
      </c>
      <c r="B87" s="5">
        <v>7000139</v>
      </c>
      <c r="C87" s="12" t="s">
        <v>9</v>
      </c>
      <c r="D87" s="5">
        <v>6.68</v>
      </c>
      <c r="E87" s="6">
        <f t="shared" si="9"/>
        <v>4</v>
      </c>
      <c r="F87" s="5">
        <v>8</v>
      </c>
      <c r="G87" s="6">
        <f t="shared" si="10"/>
        <v>4</v>
      </c>
      <c r="H87" s="5">
        <v>4</v>
      </c>
      <c r="I87" s="5" t="str">
        <f>IF(AVERAGE(E87,G87)=H87,"COINCIDE",IF(G87=H87,"INCONGRUENTE",IF(H87=7,"COINCIDE","DISTINTO")))</f>
        <v>COINCIDE</v>
      </c>
    </row>
    <row r="88" spans="1:9" ht="15.75" customHeight="1">
      <c r="A88" s="5">
        <v>700056700</v>
      </c>
      <c r="B88" s="5">
        <v>7000141</v>
      </c>
      <c r="C88" s="12" t="s">
        <v>9</v>
      </c>
      <c r="D88" s="5">
        <v>83.5</v>
      </c>
      <c r="E88" s="6">
        <f t="shared" si="9"/>
        <v>6</v>
      </c>
      <c r="F88" s="5">
        <v>136</v>
      </c>
      <c r="G88" s="6">
        <f t="shared" si="10"/>
        <v>6</v>
      </c>
      <c r="H88" s="5">
        <v>7</v>
      </c>
      <c r="I88" s="5" t="str">
        <f>IF(AVERAGE(E88,G88)=H88,"COINCIDE",IF(G88=H88,"INCONGRUENTE",IF(H88=7,"COINCIDE","DISTINTO")))</f>
        <v>COINCIDE</v>
      </c>
    </row>
    <row r="89" spans="1:9" ht="15.75" customHeight="1">
      <c r="A89" s="5">
        <v>700022000</v>
      </c>
      <c r="B89" s="5">
        <v>7000142</v>
      </c>
      <c r="C89" s="12" t="s">
        <v>9</v>
      </c>
      <c r="D89" s="5">
        <v>134</v>
      </c>
      <c r="E89" s="6">
        <f t="shared" si="9"/>
        <v>6</v>
      </c>
      <c r="F89" s="5">
        <v>200</v>
      </c>
      <c r="G89" s="6">
        <f t="shared" si="10"/>
        <v>6</v>
      </c>
      <c r="H89" s="5">
        <v>7</v>
      </c>
      <c r="I89" s="5" t="str">
        <f>IF(AVERAGE(E89,G89)=H89,"COINCIDE",IF(G89=H89,"INCONGRUENTE",IF(H89=7,"COINCIDE","DISTINTO")))</f>
        <v>COINCIDE</v>
      </c>
    </row>
    <row r="90" spans="1:9" ht="15.75" customHeight="1">
      <c r="A90" s="5">
        <v>700039600</v>
      </c>
      <c r="B90" s="5">
        <v>7000143</v>
      </c>
      <c r="C90" s="12" t="s">
        <v>9</v>
      </c>
      <c r="D90" s="12">
        <v>26.4</v>
      </c>
      <c r="E90" s="6">
        <f t="shared" si="9"/>
        <v>4</v>
      </c>
      <c r="F90" s="12">
        <v>30</v>
      </c>
      <c r="G90" s="6">
        <f t="shared" si="10"/>
        <v>4</v>
      </c>
      <c r="H90" s="5">
        <v>4</v>
      </c>
      <c r="I90" s="5" t="str">
        <f>IF(AVERAGE(E90,G90)=H90,"COINCIDE",IF(G90=H90,"INCONGRUENTE",IF(H90=7,"COINCIDE","DISTINTO")))</f>
        <v>COINCIDE</v>
      </c>
    </row>
    <row r="91" spans="1:9" ht="15.75" customHeight="1">
      <c r="A91" s="5">
        <v>700009200</v>
      </c>
      <c r="B91" s="5">
        <v>7000144</v>
      </c>
      <c r="C91" s="12" t="s">
        <v>9</v>
      </c>
      <c r="D91" s="12">
        <v>29.8</v>
      </c>
      <c r="E91" s="6">
        <f t="shared" si="9"/>
        <v>4</v>
      </c>
      <c r="F91" s="12">
        <v>34</v>
      </c>
      <c r="G91" s="6">
        <f t="shared" si="10"/>
        <v>4</v>
      </c>
      <c r="H91" s="5">
        <v>4</v>
      </c>
      <c r="I91" s="5" t="str">
        <f>IF(AVERAGE(E91,G91)=H91,"COINCIDE",IF(G91=H91,"INCONGRUENTE",IF(H91=7,"COINCIDE","DISTINTO")))</f>
        <v>COINCIDE</v>
      </c>
    </row>
    <row r="92" spans="1:9" ht="15.75" customHeight="1">
      <c r="A92" s="26">
        <v>700055600</v>
      </c>
      <c r="B92" s="26">
        <v>7000145</v>
      </c>
      <c r="C92" s="12" t="s">
        <v>9</v>
      </c>
      <c r="D92" s="27">
        <v>25.5</v>
      </c>
      <c r="E92" s="28">
        <f t="shared" si="9"/>
        <v>4</v>
      </c>
      <c r="F92" s="27">
        <v>31</v>
      </c>
      <c r="G92" s="28">
        <f t="shared" si="10"/>
        <v>4</v>
      </c>
      <c r="H92" s="26">
        <v>4</v>
      </c>
      <c r="I92" s="27" t="s">
        <v>10</v>
      </c>
    </row>
    <row r="93" spans="1:9" ht="15.75" customHeight="1">
      <c r="A93" s="5">
        <v>700056800</v>
      </c>
      <c r="B93" s="5">
        <v>7000146</v>
      </c>
      <c r="C93" s="12" t="s">
        <v>9</v>
      </c>
      <c r="D93" s="5">
        <v>90.8</v>
      </c>
      <c r="E93" s="6">
        <f t="shared" si="9"/>
        <v>6</v>
      </c>
      <c r="F93" s="5">
        <v>111</v>
      </c>
      <c r="G93" s="6">
        <f t="shared" si="10"/>
        <v>6</v>
      </c>
      <c r="H93" s="5">
        <v>7</v>
      </c>
      <c r="I93" s="5" t="str">
        <f>IF(AVERAGE(E93,G93)=H93,"COINCIDE",IF(G93=H93,"INCONGRUENTE",IF(H93=7,"COINCIDE","DISTINTO")))</f>
        <v>COINCIDE</v>
      </c>
    </row>
    <row r="94" spans="1:9" ht="15.75" customHeight="1">
      <c r="A94" s="5">
        <v>700018700</v>
      </c>
      <c r="B94" s="5">
        <v>7000147</v>
      </c>
      <c r="C94" s="12" t="s">
        <v>9</v>
      </c>
      <c r="D94" s="12">
        <v>32.1</v>
      </c>
      <c r="E94" s="6">
        <f t="shared" si="9"/>
        <v>4</v>
      </c>
      <c r="F94" s="12">
        <v>36</v>
      </c>
      <c r="G94" s="6">
        <f t="shared" si="10"/>
        <v>4</v>
      </c>
      <c r="H94" s="5">
        <v>4</v>
      </c>
      <c r="I94" s="5" t="str">
        <f>IF(AVERAGE(E94,G94)=H94,"COINCIDE",IF(G94=H94,"INCONGRUENTE",IF(H94=7,"COINCIDE","DISTINTO")))</f>
        <v>COINCIDE</v>
      </c>
    </row>
    <row r="95" spans="1:9" ht="15.75" customHeight="1">
      <c r="A95" s="5">
        <v>700018800</v>
      </c>
      <c r="B95" s="5">
        <v>7000148</v>
      </c>
      <c r="C95" s="12" t="s">
        <v>9</v>
      </c>
      <c r="D95" s="5">
        <v>5.77</v>
      </c>
      <c r="E95" s="6">
        <f t="shared" si="9"/>
        <v>4</v>
      </c>
      <c r="F95" s="5">
        <v>8</v>
      </c>
      <c r="G95" s="6">
        <f t="shared" si="10"/>
        <v>4</v>
      </c>
      <c r="H95" s="5">
        <v>4</v>
      </c>
      <c r="I95" s="5" t="str">
        <f>IF(AVERAGE(E95,G95)=H95,"COINCIDE",IF(G95=H95,"INCONGRUENTE",IF(H95=7,"COINCIDE","DISTINTO")))</f>
        <v>COINCIDE</v>
      </c>
    </row>
    <row r="96" spans="1:9" ht="15.75" customHeight="1">
      <c r="A96" s="5">
        <v>700019000</v>
      </c>
      <c r="B96" s="5">
        <v>7000150</v>
      </c>
      <c r="C96" s="12" t="s">
        <v>9</v>
      </c>
      <c r="D96" s="12">
        <v>33.6</v>
      </c>
      <c r="E96" s="6">
        <f t="shared" si="9"/>
        <v>4</v>
      </c>
      <c r="F96" s="12">
        <v>39</v>
      </c>
      <c r="G96" s="6">
        <f t="shared" si="10"/>
        <v>4</v>
      </c>
      <c r="H96" s="5">
        <v>4</v>
      </c>
      <c r="I96" s="5" t="str">
        <f>IF(AVERAGE(E96,G96)=H96,"COINCIDE",IF(G96=H96,"INCONGRUENTE",IF(H96=7,"COINCIDE","DISTINTO")))</f>
        <v>COINCIDE</v>
      </c>
    </row>
    <row r="97" spans="1:9" ht="15.75" customHeight="1">
      <c r="A97" s="26">
        <v>700022100</v>
      </c>
      <c r="B97" s="26">
        <v>7000151</v>
      </c>
      <c r="C97" s="27" t="s">
        <v>9</v>
      </c>
      <c r="D97" s="27">
        <v>56.3</v>
      </c>
      <c r="E97" s="28">
        <f t="shared" si="9"/>
        <v>5</v>
      </c>
      <c r="F97" s="27">
        <v>64</v>
      </c>
      <c r="G97" s="28">
        <f t="shared" si="10"/>
        <v>5</v>
      </c>
      <c r="H97" s="26">
        <v>5</v>
      </c>
      <c r="I97" s="26" t="str">
        <f>IF(AVERAGE(E97,G97)=H97,"COINCIDE",IF(G97=H97,"INCONGRUENTE",IF(H97=7,"COINCIDE","DISTINTO")))</f>
        <v>COINCIDE</v>
      </c>
    </row>
    <row r="98" spans="1:9" ht="15.75" customHeight="1">
      <c r="A98" s="30">
        <v>700039700</v>
      </c>
      <c r="B98" s="29">
        <v>7000152</v>
      </c>
      <c r="C98" s="30" t="s">
        <v>9</v>
      </c>
      <c r="D98" s="30">
        <v>22.3</v>
      </c>
      <c r="E98" s="31">
        <f t="shared" si="9"/>
        <v>4</v>
      </c>
      <c r="F98" s="30">
        <v>26</v>
      </c>
      <c r="G98" s="31">
        <f t="shared" si="10"/>
        <v>4</v>
      </c>
      <c r="H98" s="29">
        <v>4</v>
      </c>
      <c r="I98" s="29" t="str">
        <f>IF(AVERAGE(E98,G98)=H98,"COINCIDE",IF(G98=H98,"INCONGRUENTE",IF(H98=7,"COINCIDE","DISTINTO")))</f>
        <v>COINCIDE</v>
      </c>
    </row>
    <row r="99" spans="1:9" ht="15.75" customHeight="1">
      <c r="A99" s="9">
        <v>700016600</v>
      </c>
      <c r="B99" s="9">
        <v>7000153</v>
      </c>
      <c r="C99" s="9" t="s">
        <v>9</v>
      </c>
      <c r="D99" s="9">
        <v>8.2200000000000006</v>
      </c>
      <c r="E99" s="32">
        <f t="shared" ref="E99:E113" si="11">IF(D99&lt;=4,1,IF(D99&lt;=10,2,IF(D99&lt;=20,3,IF(D99&lt;=40,4,IF(D99&lt;=80,5,6)))))</f>
        <v>2</v>
      </c>
      <c r="F99" s="9">
        <v>10</v>
      </c>
      <c r="G99" s="32">
        <f t="shared" ref="G99:G113" si="12">IF(F99&lt;=4,1,IF(F99&lt;=10,2,IF(F99&lt;=20,3,IF(F99&lt;=40,4,IF(F99&lt;=80,5,6)))))</f>
        <v>2</v>
      </c>
      <c r="H99" s="18">
        <v>3</v>
      </c>
      <c r="I99" s="9" t="str">
        <f>IF(AVERAGE(E99,G99)=H99,"COINCIDE",IF(G99=H99,"INCONGRUENTE",IF(H99=7,"COINCIDE","DISTINTO")))</f>
        <v>DISTINTO</v>
      </c>
    </row>
    <row r="100" spans="1:9" ht="15.75" customHeight="1">
      <c r="A100" s="9">
        <v>700004200</v>
      </c>
      <c r="B100" s="9">
        <v>7000155</v>
      </c>
      <c r="C100" s="9" t="s">
        <v>9</v>
      </c>
      <c r="D100" s="9">
        <v>3.46</v>
      </c>
      <c r="E100" s="32">
        <f t="shared" si="11"/>
        <v>1</v>
      </c>
      <c r="F100" s="9">
        <v>4</v>
      </c>
      <c r="G100" s="32">
        <f t="shared" si="12"/>
        <v>1</v>
      </c>
      <c r="H100" s="9">
        <v>2</v>
      </c>
      <c r="I100" s="9" t="str">
        <f>IF(AVERAGE(E100,G100)=H100,"COINCIDE",IF(G100=H100,"INCONGRUENTE",IF(H100=7,"COINCIDE","DISTINTO")))</f>
        <v>DISTINTO</v>
      </c>
    </row>
    <row r="101" spans="1:9" ht="15.75" customHeight="1">
      <c r="A101" s="5">
        <v>700058800</v>
      </c>
      <c r="B101" s="5">
        <v>7000156</v>
      </c>
      <c r="C101" s="5" t="s">
        <v>9</v>
      </c>
      <c r="D101" s="5">
        <v>3.26</v>
      </c>
      <c r="E101" s="6">
        <f t="shared" si="11"/>
        <v>1</v>
      </c>
      <c r="F101" s="5">
        <v>4</v>
      </c>
      <c r="G101" s="6">
        <f t="shared" si="12"/>
        <v>1</v>
      </c>
      <c r="H101" s="5">
        <v>1</v>
      </c>
      <c r="I101" s="5" t="str">
        <f>IF(AVERAGE(E101,G101)=H101,"COINCIDE",IF(G101=H101,"INCONGRUENTE","DISTINTO"))</f>
        <v>COINCIDE</v>
      </c>
    </row>
    <row r="102" spans="1:9" ht="15.75" customHeight="1">
      <c r="A102" s="33">
        <v>700015800</v>
      </c>
      <c r="B102" s="33">
        <v>7000158</v>
      </c>
      <c r="C102" s="33" t="s">
        <v>9</v>
      </c>
      <c r="D102" s="34">
        <v>6.44</v>
      </c>
      <c r="E102" s="33">
        <f t="shared" si="11"/>
        <v>2</v>
      </c>
      <c r="F102" s="33">
        <v>8</v>
      </c>
      <c r="G102" s="33">
        <f t="shared" si="12"/>
        <v>2</v>
      </c>
      <c r="H102" s="34">
        <v>2</v>
      </c>
      <c r="I102" s="33" t="str">
        <f>IF(AVERAGE(E102,G102)=H102,"COINCIDE",IF(G102=H102,"INCONGRUENTE",IF(H102=7,"COINCIDE","DISTINTO")))</f>
        <v>COINCIDE</v>
      </c>
    </row>
    <row r="103" spans="1:9" ht="15.75" customHeight="1">
      <c r="A103" s="9">
        <v>700015900</v>
      </c>
      <c r="B103" s="9">
        <v>7000159</v>
      </c>
      <c r="C103" s="9" t="s">
        <v>9</v>
      </c>
      <c r="D103" s="9">
        <v>7.32</v>
      </c>
      <c r="E103" s="9">
        <f t="shared" si="11"/>
        <v>2</v>
      </c>
      <c r="F103" s="9">
        <v>9</v>
      </c>
      <c r="G103" s="9">
        <f t="shared" si="12"/>
        <v>2</v>
      </c>
      <c r="H103" s="9">
        <v>3</v>
      </c>
      <c r="I103" s="9" t="str">
        <f>IF(AVERAGE(E103,G103)=H103,"COINCIDE",IF(G103=H103,"INCONGRUENTE",IF(H103=7,"COINCIDE","DISTINTO")))</f>
        <v>DISTINTO</v>
      </c>
    </row>
    <row r="104" spans="1:9" ht="16.5" customHeight="1">
      <c r="A104" s="5">
        <v>700059500</v>
      </c>
      <c r="B104" s="5">
        <v>7000160</v>
      </c>
      <c r="C104" s="5" t="s">
        <v>9</v>
      </c>
      <c r="D104" s="5">
        <v>4.25</v>
      </c>
      <c r="E104" s="5">
        <f t="shared" si="11"/>
        <v>2</v>
      </c>
      <c r="F104" s="5">
        <v>6</v>
      </c>
      <c r="G104" s="5">
        <f t="shared" si="12"/>
        <v>2</v>
      </c>
      <c r="H104" s="5">
        <v>2</v>
      </c>
      <c r="I104" s="5" t="str">
        <f>IF(AVERAGE(E104,G104)=H104,"COINCIDE",IF(G104=H104,"INCONGRUENTE","DISTINTO"))</f>
        <v>COINCIDE</v>
      </c>
    </row>
    <row r="105" spans="1:9" ht="15.75" customHeight="1">
      <c r="A105" s="5">
        <v>700016000</v>
      </c>
      <c r="B105" s="5">
        <v>7000161</v>
      </c>
      <c r="C105" s="5" t="s">
        <v>9</v>
      </c>
      <c r="D105" s="5">
        <v>5.69</v>
      </c>
      <c r="E105" s="5">
        <f t="shared" si="11"/>
        <v>2</v>
      </c>
      <c r="F105" s="5">
        <v>8</v>
      </c>
      <c r="G105" s="5">
        <f t="shared" si="12"/>
        <v>2</v>
      </c>
      <c r="H105" s="5">
        <v>2</v>
      </c>
      <c r="I105" s="5" t="str">
        <f>IF(AVERAGE(E105,G105)=H105,"COINCIDE",IF(G105=H105,"INCONGRUENTE","DISTINTO"))</f>
        <v>COINCIDE</v>
      </c>
    </row>
    <row r="106" spans="1:9" ht="15.75" customHeight="1">
      <c r="A106" s="5">
        <v>700003600</v>
      </c>
      <c r="B106" s="5">
        <v>7000162</v>
      </c>
      <c r="C106" s="5" t="s">
        <v>9</v>
      </c>
      <c r="D106" s="5">
        <v>4.3099999999999996</v>
      </c>
      <c r="E106" s="5">
        <f t="shared" si="11"/>
        <v>2</v>
      </c>
      <c r="F106" s="5">
        <v>6</v>
      </c>
      <c r="G106" s="5">
        <f t="shared" si="12"/>
        <v>2</v>
      </c>
      <c r="H106" s="5">
        <v>2</v>
      </c>
      <c r="I106" s="5" t="str">
        <f>IF(AVERAGE(E106,G106)=H106,"COINCIDE",IF(G106=H106,"INCONGRUENTE","DISTINTO"))</f>
        <v>COINCIDE</v>
      </c>
    </row>
    <row r="107" spans="1:9" ht="15.75" customHeight="1">
      <c r="A107" s="5">
        <v>700003900</v>
      </c>
      <c r="B107" s="5">
        <v>7000163</v>
      </c>
      <c r="C107" s="5" t="s">
        <v>9</v>
      </c>
      <c r="D107" s="5">
        <v>5.89</v>
      </c>
      <c r="E107" s="5">
        <f t="shared" si="11"/>
        <v>2</v>
      </c>
      <c r="F107" s="5">
        <v>6</v>
      </c>
      <c r="G107" s="5">
        <f t="shared" si="12"/>
        <v>2</v>
      </c>
      <c r="H107" s="5">
        <v>2</v>
      </c>
      <c r="I107" s="5" t="str">
        <f>IF(AVERAGE(E107,G107)=H107,"COINCIDE",IF(G107=H107,"INCONGRUENTE","DISTINTO"))</f>
        <v>COINCIDE</v>
      </c>
    </row>
    <row r="108" spans="1:9" ht="15" customHeight="1">
      <c r="A108" s="9">
        <v>700035500</v>
      </c>
      <c r="B108" s="9">
        <v>7000165</v>
      </c>
      <c r="C108" s="9" t="s">
        <v>9</v>
      </c>
      <c r="D108" s="9">
        <v>6.53</v>
      </c>
      <c r="E108" s="9">
        <f t="shared" si="11"/>
        <v>2</v>
      </c>
      <c r="F108" s="9">
        <v>10</v>
      </c>
      <c r="G108" s="9">
        <f t="shared" si="12"/>
        <v>2</v>
      </c>
      <c r="H108" s="9">
        <v>3</v>
      </c>
      <c r="I108" s="9" t="str">
        <f>IF(AVERAGE(E108,G108)=H108,"COINCIDE",IF(G108=H108,"INCONGRUENTE",IF(H108=7,"COINCIDE","DISTINTO")))</f>
        <v>DISTINTO</v>
      </c>
    </row>
    <row r="109" spans="1:9" ht="15.75" customHeight="1">
      <c r="A109" s="9">
        <v>700035400</v>
      </c>
      <c r="B109" s="9">
        <v>7000166</v>
      </c>
      <c r="C109" s="9" t="s">
        <v>9</v>
      </c>
      <c r="D109" s="9">
        <v>6.94</v>
      </c>
      <c r="E109" s="9">
        <f t="shared" si="11"/>
        <v>2</v>
      </c>
      <c r="F109" s="9">
        <v>10</v>
      </c>
      <c r="G109" s="9">
        <f t="shared" si="12"/>
        <v>2</v>
      </c>
      <c r="H109" s="9">
        <v>3</v>
      </c>
      <c r="I109" s="9" t="str">
        <f>IF(AVERAGE(E109,G109)=H109,"COINCIDE",IF(G109=H109,"INCONGRUENTE",IF(H109=7,"COINCIDE","DISTINTO")))</f>
        <v>DISTINTO</v>
      </c>
    </row>
    <row r="110" spans="1:9" ht="15.75" customHeight="1">
      <c r="A110" s="5">
        <v>700035300</v>
      </c>
      <c r="B110" s="5">
        <v>7000168</v>
      </c>
      <c r="C110" s="5" t="s">
        <v>9</v>
      </c>
      <c r="D110" s="5">
        <v>6.23</v>
      </c>
      <c r="E110" s="5">
        <f t="shared" si="11"/>
        <v>2</v>
      </c>
      <c r="F110" s="5">
        <v>8</v>
      </c>
      <c r="G110" s="5">
        <f t="shared" si="12"/>
        <v>2</v>
      </c>
      <c r="H110" s="5">
        <v>2</v>
      </c>
      <c r="I110" s="5" t="str">
        <f>IF(AVERAGE(E110,G110)=H110,"COINCIDE",IF(G110=H110,"INCONGRUENTE","DISTINTO"))</f>
        <v>COINCIDE</v>
      </c>
    </row>
    <row r="111" spans="1:9" ht="15.75" customHeight="1">
      <c r="A111" s="5">
        <v>700023900</v>
      </c>
      <c r="B111" s="5">
        <v>7000170</v>
      </c>
      <c r="C111" s="5" t="s">
        <v>9</v>
      </c>
      <c r="D111" s="5">
        <v>4.96</v>
      </c>
      <c r="E111" s="5">
        <f t="shared" si="11"/>
        <v>2</v>
      </c>
      <c r="F111" s="5">
        <v>7</v>
      </c>
      <c r="G111" s="5">
        <f t="shared" si="12"/>
        <v>2</v>
      </c>
      <c r="H111" s="5">
        <v>2</v>
      </c>
      <c r="I111" s="5" t="str">
        <f>IF(AVERAGE(E111,G111)=H111,"COINCIDE",IF(G111=H111,"INCONGRUENTE","DISTINTO"))</f>
        <v>COINCIDE</v>
      </c>
    </row>
    <row r="112" spans="1:9" ht="15.75" customHeight="1">
      <c r="A112" s="9">
        <v>700050500</v>
      </c>
      <c r="B112" s="9">
        <v>7000171</v>
      </c>
      <c r="C112" s="9" t="s">
        <v>9</v>
      </c>
      <c r="D112" s="9">
        <v>7.93</v>
      </c>
      <c r="E112" s="9">
        <f t="shared" si="11"/>
        <v>2</v>
      </c>
      <c r="F112" s="9">
        <v>10</v>
      </c>
      <c r="G112" s="9">
        <f t="shared" si="12"/>
        <v>2</v>
      </c>
      <c r="H112" s="9">
        <v>3</v>
      </c>
      <c r="I112" s="9" t="str">
        <f>IF(AVERAGE(E112,G112)=H112,"COINCIDE",IF(G112=H112,"INCONGRUENTE",IF(H112=7,"COINCIDE","DISTINTO")))</f>
        <v>DISTINTO</v>
      </c>
    </row>
    <row r="113" spans="1:9" ht="15.75" customHeight="1">
      <c r="A113" s="11">
        <v>700016300</v>
      </c>
      <c r="B113" s="11">
        <v>7000172</v>
      </c>
      <c r="C113" s="11" t="s">
        <v>9</v>
      </c>
      <c r="D113" s="11">
        <v>9.35</v>
      </c>
      <c r="E113" s="35">
        <f t="shared" si="11"/>
        <v>2</v>
      </c>
      <c r="F113" s="11">
        <v>11</v>
      </c>
      <c r="G113" s="35">
        <f t="shared" si="12"/>
        <v>3</v>
      </c>
      <c r="H113" s="11">
        <v>3</v>
      </c>
      <c r="I113" s="35" t="str">
        <f>IF(AVERAGE(E113,G113)=H113,"COINCIDE",IF(G113=H113,"INCONGRUENTE","DISTINTO"))</f>
        <v>INCONGRUENTE</v>
      </c>
    </row>
    <row r="114" spans="1:9" ht="15.75" customHeight="1">
      <c r="A114" s="5">
        <v>700007200</v>
      </c>
      <c r="B114" s="5">
        <v>7000174</v>
      </c>
      <c r="C114" s="5" t="s">
        <v>9</v>
      </c>
      <c r="D114" s="5">
        <v>183</v>
      </c>
      <c r="E114" s="5">
        <v>6</v>
      </c>
      <c r="F114" s="5">
        <v>230</v>
      </c>
      <c r="G114" s="5">
        <v>6</v>
      </c>
      <c r="H114" s="5">
        <v>7</v>
      </c>
      <c r="I114" s="5" t="str">
        <f>IF(AVERAGE(E114,G114)=H114,"COINCIDE",IF(G114=H114,"INCONGRUENTE",IF(H114=7,"COINCIDE","DISTINTO")))</f>
        <v>COINCIDE</v>
      </c>
    </row>
    <row r="115" spans="1:9" ht="15.75" customHeight="1">
      <c r="A115" s="5">
        <v>700007100</v>
      </c>
      <c r="B115" s="5">
        <v>7000175</v>
      </c>
      <c r="C115" s="5" t="s">
        <v>9</v>
      </c>
      <c r="D115" s="5">
        <v>176</v>
      </c>
      <c r="E115" s="5">
        <f t="shared" ref="E115:E123" si="13">IF(D115&lt;=4,1,IF(D115&lt;=10,2,IF(D115&lt;=20,3,IF(D115&lt;=40,4,IF(D115&lt;=80,5,6)))))</f>
        <v>6</v>
      </c>
      <c r="F115" s="5">
        <v>217</v>
      </c>
      <c r="G115" s="5">
        <f t="shared" ref="G115:G123" si="14">IF(F115&lt;=4,1,IF(F115&lt;=10,2,IF(F115&lt;=20,3,IF(F115&lt;=40,4,IF(F115&lt;=80,5,6)))))</f>
        <v>6</v>
      </c>
      <c r="H115" s="5">
        <v>6</v>
      </c>
      <c r="I115" s="5" t="str">
        <f>IF(AVERAGE(E115,G115)=H115,"COINCIDE",IF(G115=H115,"INCONGRUENTE","DISTINTO"))</f>
        <v>COINCIDE</v>
      </c>
    </row>
    <row r="116" spans="1:9" ht="15.75" customHeight="1">
      <c r="A116" s="7">
        <v>700038900</v>
      </c>
      <c r="B116" s="7">
        <v>7000177</v>
      </c>
      <c r="C116" s="7" t="s">
        <v>9</v>
      </c>
      <c r="D116" s="7">
        <v>146</v>
      </c>
      <c r="E116" s="7">
        <f t="shared" si="13"/>
        <v>6</v>
      </c>
      <c r="F116" s="7">
        <v>190</v>
      </c>
      <c r="G116" s="7">
        <f t="shared" si="14"/>
        <v>6</v>
      </c>
      <c r="H116" s="7">
        <v>7</v>
      </c>
      <c r="I116" s="7" t="str">
        <f>IF(AVERAGE(E116,G116)=H116,"COINCIDE",IF(G116=H116,"INCONGRUENTE",IF(H116=7,"COINCIDE","DISTINTO")))</f>
        <v>COINCIDE</v>
      </c>
    </row>
    <row r="117" spans="1:9" ht="15.75" customHeight="1">
      <c r="A117" s="5">
        <v>700006600</v>
      </c>
      <c r="B117" s="5">
        <v>7000178</v>
      </c>
      <c r="C117" s="5" t="s">
        <v>9</v>
      </c>
      <c r="D117" s="5">
        <v>141</v>
      </c>
      <c r="E117" s="5">
        <f t="shared" si="13"/>
        <v>6</v>
      </c>
      <c r="F117" s="5">
        <v>172</v>
      </c>
      <c r="G117" s="5">
        <f t="shared" si="14"/>
        <v>6</v>
      </c>
      <c r="H117" s="5">
        <v>6</v>
      </c>
      <c r="I117" s="5" t="str">
        <f>IF(AVERAGE(E117,G117)=H117,"COINCIDE",IF(G117=H117,"INCONGRUENTE","DISTINTO"))</f>
        <v>COINCIDE</v>
      </c>
    </row>
    <row r="118" spans="1:9" ht="15.75" customHeight="1">
      <c r="A118" s="7">
        <v>700007500</v>
      </c>
      <c r="B118" s="7">
        <v>7000180</v>
      </c>
      <c r="C118" s="7" t="s">
        <v>9</v>
      </c>
      <c r="D118" s="7">
        <v>160</v>
      </c>
      <c r="E118" s="7">
        <f t="shared" si="13"/>
        <v>6</v>
      </c>
      <c r="F118" s="7">
        <v>200</v>
      </c>
      <c r="G118" s="7">
        <f t="shared" si="14"/>
        <v>6</v>
      </c>
      <c r="H118" s="7">
        <v>6</v>
      </c>
      <c r="I118" s="7" t="str">
        <f>IF(AVERAGE(E118,G118)=H118,"COINCIDE",IF(G118=H118,"INCONGRUENTE","DISTINTO"))</f>
        <v>COINCIDE</v>
      </c>
    </row>
    <row r="119" spans="1:9" ht="15.75" customHeight="1">
      <c r="A119" s="5">
        <v>700006800</v>
      </c>
      <c r="B119" s="5">
        <v>7000181</v>
      </c>
      <c r="C119" s="5" t="s">
        <v>9</v>
      </c>
      <c r="D119" s="5">
        <v>150</v>
      </c>
      <c r="E119" s="5">
        <f t="shared" si="13"/>
        <v>6</v>
      </c>
      <c r="F119" s="5">
        <v>177</v>
      </c>
      <c r="G119" s="5">
        <f t="shared" si="14"/>
        <v>6</v>
      </c>
      <c r="H119" s="5">
        <v>6</v>
      </c>
      <c r="I119" s="5" t="str">
        <f>IF(AVERAGE(E119,G119)=H119,"COINCIDE",IF(G119=H119,"INCONGRUENTE","DISTINTO"))</f>
        <v>COINCIDE</v>
      </c>
    </row>
    <row r="120" spans="1:9" ht="15.75" customHeight="1">
      <c r="A120" s="5">
        <v>700024500</v>
      </c>
      <c r="B120" s="5">
        <v>7000184</v>
      </c>
      <c r="C120" s="5" t="s">
        <v>9</v>
      </c>
      <c r="D120" s="5">
        <v>159</v>
      </c>
      <c r="E120" s="5">
        <f t="shared" si="13"/>
        <v>6</v>
      </c>
      <c r="F120" s="5">
        <v>196</v>
      </c>
      <c r="G120" s="5">
        <f t="shared" si="14"/>
        <v>6</v>
      </c>
      <c r="H120" s="5">
        <v>6</v>
      </c>
      <c r="I120" s="5" t="str">
        <f>IF(AVERAGE(E120,G120)=H120,"COINCIDE",IF(G120=H120,"INCONGRUENTE","DISTINTO"))</f>
        <v>COINCIDE</v>
      </c>
    </row>
    <row r="121" spans="1:9" ht="15.75" customHeight="1">
      <c r="A121" s="5">
        <v>700007600</v>
      </c>
      <c r="B121" s="5">
        <v>7000185</v>
      </c>
      <c r="C121" s="5" t="s">
        <v>9</v>
      </c>
      <c r="D121" s="5">
        <v>160</v>
      </c>
      <c r="E121" s="5">
        <f t="shared" si="13"/>
        <v>6</v>
      </c>
      <c r="F121" s="5">
        <v>195</v>
      </c>
      <c r="G121" s="5">
        <f t="shared" si="14"/>
        <v>6</v>
      </c>
      <c r="H121" s="5">
        <v>6</v>
      </c>
      <c r="I121" s="5" t="str">
        <f>IF(AVERAGE(E121,G121)=H121,"COINCIDE",IF(G121=H121,"INCONGRUENTE","DISTINTO"))</f>
        <v>COINCIDE</v>
      </c>
    </row>
    <row r="122" spans="1:9" ht="14.25" customHeight="1">
      <c r="A122" s="5">
        <v>700007800</v>
      </c>
      <c r="B122" s="5">
        <v>7000186</v>
      </c>
      <c r="C122" s="5" t="s">
        <v>9</v>
      </c>
      <c r="D122" s="5">
        <v>166</v>
      </c>
      <c r="E122" s="5">
        <f t="shared" si="13"/>
        <v>6</v>
      </c>
      <c r="F122" s="5">
        <v>195</v>
      </c>
      <c r="G122" s="5">
        <f t="shared" si="14"/>
        <v>6</v>
      </c>
      <c r="H122" s="5">
        <v>6</v>
      </c>
      <c r="I122" s="5" t="str">
        <f>IF(AVERAGE(E122,G122)=H122,"COINCIDE",IF(G122=H122,"INCONGRUENTE","DISTINTO"))</f>
        <v>COINCIDE</v>
      </c>
    </row>
    <row r="123" spans="1:9" ht="15.75" customHeight="1">
      <c r="A123" s="5">
        <v>700006700</v>
      </c>
      <c r="B123" s="5">
        <v>7000187</v>
      </c>
      <c r="C123" s="5" t="s">
        <v>9</v>
      </c>
      <c r="D123" s="5">
        <v>142</v>
      </c>
      <c r="E123" s="5">
        <f t="shared" si="13"/>
        <v>6</v>
      </c>
      <c r="F123" s="5">
        <v>169</v>
      </c>
      <c r="G123" s="5">
        <f t="shared" si="14"/>
        <v>6</v>
      </c>
      <c r="H123" s="5">
        <v>6</v>
      </c>
      <c r="I123" s="5" t="str">
        <f>IF(AVERAGE(E123,G123)=H123,"COINCIDE",IF(G123=H123,"INCONGRUENTE","DISTINTO"))</f>
        <v>COINCIDE</v>
      </c>
    </row>
    <row r="124" spans="1:9" ht="15.75" customHeight="1">
      <c r="A124" s="5">
        <v>700041900</v>
      </c>
      <c r="B124" s="5">
        <v>7000190</v>
      </c>
      <c r="C124" s="5" t="s">
        <v>13</v>
      </c>
      <c r="D124" s="5">
        <v>0.58199999999999996</v>
      </c>
      <c r="E124" s="5">
        <f t="shared" ref="E124:E154" si="15">IF(D124&lt;=2,3,IF(D124&lt;=10,5,6))</f>
        <v>3</v>
      </c>
      <c r="F124" s="5">
        <v>0.73399999999999999</v>
      </c>
      <c r="G124" s="5">
        <f t="shared" ref="G124:G154" si="16">IF(F124&lt;=2,3,IF(F124&lt;=10,5,6))</f>
        <v>3</v>
      </c>
      <c r="H124" s="5">
        <v>3</v>
      </c>
      <c r="I124" s="5" t="str">
        <f>IF(AVERAGE(E124,G124)=H124,"COINCIDE",IF(G124=H124,"INCONGRUENTE",IF(H124=7,"COINCIDE","DISTINTO")))</f>
        <v>COINCIDE</v>
      </c>
    </row>
    <row r="125" spans="1:9" ht="15.75" customHeight="1">
      <c r="A125" s="5">
        <v>700045200</v>
      </c>
      <c r="B125" s="5">
        <v>7000191</v>
      </c>
      <c r="C125" s="5" t="s">
        <v>13</v>
      </c>
      <c r="D125" s="5">
        <v>0.29799999999999999</v>
      </c>
      <c r="E125" s="5">
        <f t="shared" si="15"/>
        <v>3</v>
      </c>
      <c r="F125" s="5">
        <v>0.44500000000000001</v>
      </c>
      <c r="G125" s="5">
        <f t="shared" si="16"/>
        <v>3</v>
      </c>
      <c r="H125" s="5">
        <v>3</v>
      </c>
      <c r="I125" s="5" t="str">
        <f>IF(AVERAGE(E125,G125)=H125,"COINCIDE",IF(G125=H125,"INCONGRUENTE",IF(H125=7,"COINCIDE","DISTINTO")))</f>
        <v>COINCIDE</v>
      </c>
    </row>
    <row r="126" spans="1:9" ht="15.75" customHeight="1">
      <c r="A126" s="5">
        <v>700045100</v>
      </c>
      <c r="B126" s="5">
        <v>7000192</v>
      </c>
      <c r="C126" s="5" t="s">
        <v>13</v>
      </c>
      <c r="D126" s="5">
        <v>0.56499999999999995</v>
      </c>
      <c r="E126" s="5">
        <f t="shared" si="15"/>
        <v>3</v>
      </c>
      <c r="F126" s="5">
        <v>0.86799999999999999</v>
      </c>
      <c r="G126" s="5">
        <f t="shared" si="16"/>
        <v>3</v>
      </c>
      <c r="H126" s="5">
        <v>3</v>
      </c>
      <c r="I126" s="5" t="str">
        <f>IF(AVERAGE(E126,G126)=H126,"COINCIDE",IF(G126=H126,"INCONGRUENTE",IF(H126=7,"COINCIDE","DISTINTO")))</f>
        <v>COINCIDE</v>
      </c>
    </row>
    <row r="127" spans="1:9" ht="15.75" customHeight="1">
      <c r="A127" s="5">
        <v>700045300</v>
      </c>
      <c r="B127" s="5">
        <v>7000193</v>
      </c>
      <c r="C127" s="5" t="s">
        <v>13</v>
      </c>
      <c r="D127" s="5">
        <v>2.5</v>
      </c>
      <c r="E127" s="5">
        <f t="shared" si="15"/>
        <v>5</v>
      </c>
      <c r="F127" s="5">
        <v>3</v>
      </c>
      <c r="G127" s="5">
        <f t="shared" si="16"/>
        <v>5</v>
      </c>
      <c r="H127" s="5">
        <v>5</v>
      </c>
      <c r="I127" s="5" t="str">
        <f>IF(AVERAGE(E127,G127)=H127,"COINCIDE",IF(G127=H127,"INCONGRUENTE",IF(H127=7,"COINCIDE","DISTINTO")))</f>
        <v>COINCIDE</v>
      </c>
    </row>
    <row r="128" spans="1:9" ht="15.75" customHeight="1">
      <c r="A128" s="5">
        <v>700041400</v>
      </c>
      <c r="B128" s="5">
        <v>7000194</v>
      </c>
      <c r="C128" s="5" t="s">
        <v>13</v>
      </c>
      <c r="D128" s="5">
        <v>1.54</v>
      </c>
      <c r="E128" s="5">
        <f t="shared" si="15"/>
        <v>3</v>
      </c>
      <c r="F128" s="5">
        <v>2</v>
      </c>
      <c r="G128" s="5">
        <f t="shared" si="16"/>
        <v>3</v>
      </c>
      <c r="H128" s="5">
        <v>3</v>
      </c>
      <c r="I128" s="5" t="str">
        <f>IF(AVERAGE(E128,G128)=H128,"COINCIDE",IF(G128=H128,"INCONGRUENTE",IF(H128=7,"COINCIDE","DISTINTO")))</f>
        <v>COINCIDE</v>
      </c>
    </row>
    <row r="129" spans="1:9" ht="15.75" customHeight="1">
      <c r="A129" s="5">
        <v>700051900</v>
      </c>
      <c r="B129" s="5">
        <v>7000195</v>
      </c>
      <c r="C129" s="5" t="s">
        <v>13</v>
      </c>
      <c r="D129" s="5">
        <v>18.399999999999999</v>
      </c>
      <c r="E129" s="5">
        <f t="shared" si="15"/>
        <v>6</v>
      </c>
      <c r="F129" s="5">
        <v>23</v>
      </c>
      <c r="G129" s="5">
        <f t="shared" si="16"/>
        <v>6</v>
      </c>
      <c r="H129" s="5">
        <v>6</v>
      </c>
      <c r="I129" s="5" t="str">
        <f>IF(AVERAGE(E129,G129)=H129,"COINCIDE",IF(G129=H129,"INCONGRUENTE",IF(H129=7,"COINCIDE","DISTINTO")))</f>
        <v>COINCIDE</v>
      </c>
    </row>
    <row r="130" spans="1:9" ht="15.75" customHeight="1">
      <c r="A130" s="5">
        <v>700040800</v>
      </c>
      <c r="B130" s="5">
        <v>7000197</v>
      </c>
      <c r="C130" s="5" t="s">
        <v>13</v>
      </c>
      <c r="D130" s="5">
        <v>13.2</v>
      </c>
      <c r="E130" s="5">
        <f t="shared" si="15"/>
        <v>6</v>
      </c>
      <c r="F130" s="5">
        <v>18</v>
      </c>
      <c r="G130" s="5">
        <f t="shared" si="16"/>
        <v>6</v>
      </c>
      <c r="H130" s="5">
        <v>6</v>
      </c>
      <c r="I130" s="5" t="str">
        <f>IF(AVERAGE(E130,G130)=H130,"COINCIDE",IF(G130=H130,"INCONGRUENTE",IF(H130=7,"COINCIDE","DISTINTO")))</f>
        <v>COINCIDE</v>
      </c>
    </row>
    <row r="131" spans="1:9" ht="15" customHeight="1">
      <c r="A131" s="35">
        <v>700009300</v>
      </c>
      <c r="B131" s="35">
        <v>7000198</v>
      </c>
      <c r="C131" s="35" t="s">
        <v>13</v>
      </c>
      <c r="D131" s="35">
        <v>7.86</v>
      </c>
      <c r="E131" s="35">
        <f t="shared" si="15"/>
        <v>5</v>
      </c>
      <c r="F131" s="35">
        <v>13</v>
      </c>
      <c r="G131" s="35">
        <f t="shared" si="16"/>
        <v>6</v>
      </c>
      <c r="H131" s="35">
        <v>6</v>
      </c>
      <c r="I131" s="35" t="str">
        <f>IF(AVERAGE(E131,G131)=H131,"COINCIDE",IF(G131=H131,"INCONGRUENTE",IF(H131=7,"COINCIDE","DISTINTO")))</f>
        <v>INCONGRUENTE</v>
      </c>
    </row>
    <row r="132" spans="1:9" ht="15.75" customHeight="1">
      <c r="A132" s="5">
        <v>700051800</v>
      </c>
      <c r="B132" s="5">
        <v>7000199</v>
      </c>
      <c r="C132" s="5" t="s">
        <v>13</v>
      </c>
      <c r="D132" s="5">
        <v>10.6</v>
      </c>
      <c r="E132" s="5">
        <f t="shared" si="15"/>
        <v>6</v>
      </c>
      <c r="F132" s="5">
        <v>15</v>
      </c>
      <c r="G132" s="5">
        <f t="shared" si="16"/>
        <v>6</v>
      </c>
      <c r="H132" s="5">
        <v>6</v>
      </c>
      <c r="I132" s="5" t="str">
        <f>IF(AVERAGE(E132,G132)=H132,"COINCIDE",IF(G132=H132,"INCONGRUENTE",IF(H132=7,"COINCIDE","DISTINTO")))</f>
        <v>COINCIDE</v>
      </c>
    </row>
    <row r="133" spans="1:9" ht="15.75" customHeight="1">
      <c r="A133" s="5">
        <v>700009700</v>
      </c>
      <c r="B133" s="5">
        <v>7000200</v>
      </c>
      <c r="C133" s="5" t="s">
        <v>13</v>
      </c>
      <c r="D133" s="5">
        <v>14.3</v>
      </c>
      <c r="E133" s="5">
        <f t="shared" si="15"/>
        <v>6</v>
      </c>
      <c r="F133" s="5">
        <v>19</v>
      </c>
      <c r="G133" s="5">
        <f t="shared" si="16"/>
        <v>6</v>
      </c>
      <c r="H133" s="5">
        <v>6</v>
      </c>
      <c r="I133" s="5" t="str">
        <f>IF(AVERAGE(E133,G133)=H133,"COINCIDE",IF(G133=H133,"INCONGRUENTE",IF(H133=7,"COINCIDE","DISTINTO")))</f>
        <v>COINCIDE</v>
      </c>
    </row>
    <row r="134" spans="1:9" ht="15.75" customHeight="1">
      <c r="A134" s="5">
        <v>700016900</v>
      </c>
      <c r="B134" s="5">
        <v>7000202</v>
      </c>
      <c r="C134" s="5" t="s">
        <v>13</v>
      </c>
      <c r="D134" s="5">
        <v>27.3</v>
      </c>
      <c r="E134" s="5">
        <f t="shared" si="15"/>
        <v>6</v>
      </c>
      <c r="F134" s="5">
        <v>54</v>
      </c>
      <c r="G134" s="5">
        <f t="shared" si="16"/>
        <v>6</v>
      </c>
      <c r="H134" s="5">
        <v>6</v>
      </c>
      <c r="I134" s="5" t="str">
        <f>IF(AVERAGE(E134,G134)=H134,"COINCIDE",IF(G134=H134,"INCONGRUENTE",IF(H134=7,"COINCIDE","DISTINTO")))</f>
        <v>COINCIDE</v>
      </c>
    </row>
    <row r="135" spans="1:9" ht="15.75" customHeight="1">
      <c r="A135" s="5">
        <v>700016700</v>
      </c>
      <c r="B135" s="5">
        <v>7000203</v>
      </c>
      <c r="C135" s="5" t="s">
        <v>13</v>
      </c>
      <c r="D135" s="5">
        <v>26.9</v>
      </c>
      <c r="E135" s="5">
        <f t="shared" si="15"/>
        <v>6</v>
      </c>
      <c r="F135" s="5">
        <v>50</v>
      </c>
      <c r="G135" s="5">
        <f t="shared" si="16"/>
        <v>6</v>
      </c>
      <c r="H135" s="5">
        <v>6</v>
      </c>
      <c r="I135" s="5" t="str">
        <f>IF(AVERAGE(E135,G135)=H135,"COINCIDE",IF(G135=H135,"INCONGRUENTE",IF(H135=7,"COINCIDE","DISTINTO")))</f>
        <v>COINCIDE</v>
      </c>
    </row>
    <row r="136" spans="1:9" ht="15.75" customHeight="1">
      <c r="A136" s="5">
        <v>700016800</v>
      </c>
      <c r="B136" s="5">
        <v>7000204</v>
      </c>
      <c r="C136" s="5" t="s">
        <v>13</v>
      </c>
      <c r="D136" s="5">
        <v>25.5</v>
      </c>
      <c r="E136" s="5">
        <f t="shared" si="15"/>
        <v>6</v>
      </c>
      <c r="F136" s="5">
        <v>34</v>
      </c>
      <c r="G136" s="5">
        <f t="shared" si="16"/>
        <v>6</v>
      </c>
      <c r="H136" s="5">
        <v>6</v>
      </c>
      <c r="I136" s="5" t="str">
        <f>IF(AVERAGE(E136,G136)=H136,"COINCIDE",IF(G136=H136,"INCONGRUENTE",IF(H136=7,"COINCIDE","DISTINTO")))</f>
        <v>COINCIDE</v>
      </c>
    </row>
    <row r="137" spans="1:9" ht="15.75" customHeight="1">
      <c r="A137" s="5">
        <v>700017000</v>
      </c>
      <c r="B137" s="5">
        <v>7000206</v>
      </c>
      <c r="C137" s="5" t="s">
        <v>13</v>
      </c>
      <c r="D137" s="5">
        <v>19.600000000000001</v>
      </c>
      <c r="E137" s="5">
        <f t="shared" si="15"/>
        <v>6</v>
      </c>
      <c r="F137" s="5">
        <v>25</v>
      </c>
      <c r="G137" s="5">
        <f t="shared" si="16"/>
        <v>6</v>
      </c>
      <c r="H137" s="5">
        <v>6</v>
      </c>
      <c r="I137" s="5" t="str">
        <f>IF(AVERAGE(E137,G137)=H137,"COINCIDE",IF(G137=H137,"INCONGRUENTE",IF(H137=7,"COINCIDE","DISTINTO")))</f>
        <v>COINCIDE</v>
      </c>
    </row>
    <row r="138" spans="1:9" ht="15.75" customHeight="1">
      <c r="A138" s="5">
        <v>700009900</v>
      </c>
      <c r="B138" s="5">
        <v>7000207</v>
      </c>
      <c r="C138" s="5" t="s">
        <v>13</v>
      </c>
      <c r="D138" s="5">
        <v>10.199999999999999</v>
      </c>
      <c r="E138" s="5">
        <f t="shared" si="15"/>
        <v>6</v>
      </c>
      <c r="F138" s="5">
        <v>13</v>
      </c>
      <c r="G138" s="5">
        <f t="shared" si="16"/>
        <v>6</v>
      </c>
      <c r="H138" s="5">
        <v>6</v>
      </c>
      <c r="I138" s="5" t="str">
        <f>IF(AVERAGE(E138,G138)=H138,"COINCIDE",IF(G138=H138,"INCONGRUENTE",IF(H138=7,"COINCIDE","DISTINTO")))</f>
        <v>COINCIDE</v>
      </c>
    </row>
    <row r="139" spans="1:9" ht="15.75" customHeight="1">
      <c r="A139" s="5">
        <v>700009800</v>
      </c>
      <c r="B139" s="5">
        <v>7000208</v>
      </c>
      <c r="C139" s="5" t="s">
        <v>13</v>
      </c>
      <c r="D139" s="5">
        <v>15.6</v>
      </c>
      <c r="E139" s="5">
        <f t="shared" si="15"/>
        <v>6</v>
      </c>
      <c r="F139" s="5">
        <v>18</v>
      </c>
      <c r="G139" s="5">
        <f t="shared" si="16"/>
        <v>6</v>
      </c>
      <c r="H139" s="5">
        <v>6</v>
      </c>
      <c r="I139" s="5" t="str">
        <f>IF(AVERAGE(E139,G139)=H139,"COINCIDE",IF(G139=H139,"INCONGRUENTE",IF(H139=7,"COINCIDE","DISTINTO")))</f>
        <v>COINCIDE</v>
      </c>
    </row>
    <row r="140" spans="1:9" ht="15.75" customHeight="1">
      <c r="A140" s="9">
        <v>700041000</v>
      </c>
      <c r="B140" s="9">
        <v>7000209</v>
      </c>
      <c r="C140" s="9" t="s">
        <v>13</v>
      </c>
      <c r="D140" s="9">
        <v>5.92</v>
      </c>
      <c r="E140" s="9">
        <f t="shared" si="15"/>
        <v>5</v>
      </c>
      <c r="F140" s="9">
        <v>7</v>
      </c>
      <c r="G140" s="9">
        <f t="shared" si="16"/>
        <v>5</v>
      </c>
      <c r="H140" s="9">
        <v>6</v>
      </c>
      <c r="I140" s="9" t="str">
        <f>IF(AVERAGE(E140,G140)=H140,"COINCIDE",IF(G140=H140,"INCONGRUENTE",IF(H140=7,"COINCIDE","DISTINTO")))</f>
        <v>DISTINTO</v>
      </c>
    </row>
    <row r="141" spans="1:9" ht="15.75" customHeight="1" thickBot="1">
      <c r="A141" s="5">
        <v>700042200</v>
      </c>
      <c r="B141" s="5">
        <v>7000210</v>
      </c>
      <c r="C141" s="5" t="s">
        <v>13</v>
      </c>
      <c r="D141" s="5">
        <v>18.2</v>
      </c>
      <c r="E141" s="5">
        <f t="shared" si="15"/>
        <v>6</v>
      </c>
      <c r="F141" s="5">
        <v>20</v>
      </c>
      <c r="G141" s="5">
        <f t="shared" si="16"/>
        <v>6</v>
      </c>
      <c r="H141" s="5">
        <v>6</v>
      </c>
      <c r="I141" s="5" t="str">
        <f>IF(AVERAGE(E141,G141)=H141,"COINCIDE",IF(G141=H141,"INCONGRUENTE",IF(H141=7,"COINCIDE","DISTINTO")))</f>
        <v>COINCIDE</v>
      </c>
    </row>
    <row r="142" spans="1:9" ht="15.75" customHeight="1" thickTop="1">
      <c r="A142" s="36">
        <v>700044600</v>
      </c>
      <c r="B142" s="36">
        <v>7000211</v>
      </c>
      <c r="C142" s="36" t="s">
        <v>13</v>
      </c>
      <c r="D142" s="36">
        <v>63.1</v>
      </c>
      <c r="E142" s="36">
        <f t="shared" si="15"/>
        <v>6</v>
      </c>
      <c r="F142" s="36">
        <v>87</v>
      </c>
      <c r="G142" s="36">
        <f t="shared" si="16"/>
        <v>6</v>
      </c>
      <c r="H142" s="36">
        <v>7</v>
      </c>
      <c r="I142" s="36" t="str">
        <f>IF(AVERAGE(E142,G142)=H142,"COINCIDE",IF(G142=H142,"INCONGRUENTE",IF(H142=7,"COINCIDE","DISTINTO")))</f>
        <v>COINCIDE</v>
      </c>
    </row>
    <row r="143" spans="1:9" ht="15.75" customHeight="1">
      <c r="A143" s="5">
        <v>700044500</v>
      </c>
      <c r="B143" s="5">
        <v>7000212</v>
      </c>
      <c r="C143" s="5" t="s">
        <v>13</v>
      </c>
      <c r="D143" s="5">
        <v>62.8</v>
      </c>
      <c r="E143" s="6">
        <f t="shared" si="15"/>
        <v>6</v>
      </c>
      <c r="F143" s="5">
        <v>82</v>
      </c>
      <c r="G143" s="6">
        <f t="shared" si="16"/>
        <v>6</v>
      </c>
      <c r="H143" s="5">
        <v>7</v>
      </c>
      <c r="I143" s="5" t="str">
        <f>IF(AVERAGE(E143,G143)=H143,"COINCIDE",IF(G143=H143,"INCONGRUENTE",IF(H143=7,"COINCIDE","DISTINTO")))</f>
        <v>COINCIDE</v>
      </c>
    </row>
    <row r="144" spans="1:9" ht="15.75" customHeight="1">
      <c r="A144" s="9">
        <v>700051100</v>
      </c>
      <c r="B144" s="9">
        <v>7000214</v>
      </c>
      <c r="C144" s="9" t="s">
        <v>13</v>
      </c>
      <c r="D144" s="9">
        <v>9.24</v>
      </c>
      <c r="E144" s="32">
        <f t="shared" si="15"/>
        <v>5</v>
      </c>
      <c r="F144" s="9">
        <v>10</v>
      </c>
      <c r="G144" s="32">
        <f t="shared" si="16"/>
        <v>5</v>
      </c>
      <c r="H144" s="9">
        <v>6</v>
      </c>
      <c r="I144" s="9" t="str">
        <f>IF(AVERAGE(E144,G144)=H144,"COINCIDE",IF(G144=H144,"INCONGRUENTE",IF(H144=7,"COINCIDE","DISTINTO")))</f>
        <v>DISTINTO</v>
      </c>
    </row>
    <row r="145" spans="1:9" ht="15.75" customHeight="1">
      <c r="A145" s="35">
        <v>700010000</v>
      </c>
      <c r="B145" s="35">
        <v>7000215</v>
      </c>
      <c r="C145" s="35" t="s">
        <v>13</v>
      </c>
      <c r="D145" s="35">
        <v>9.23</v>
      </c>
      <c r="E145" s="37">
        <f t="shared" si="15"/>
        <v>5</v>
      </c>
      <c r="F145" s="35">
        <v>12</v>
      </c>
      <c r="G145" s="37">
        <f t="shared" si="16"/>
        <v>6</v>
      </c>
      <c r="H145" s="35">
        <v>6</v>
      </c>
      <c r="I145" s="35" t="str">
        <f>IF(AVERAGE(E145,G145)=H145,"COINCIDE",IF(G145=H145,"INCONGRUENTE",IF(H145=7,"COINCIDE","DISTINTO")))</f>
        <v>INCONGRUENTE</v>
      </c>
    </row>
    <row r="146" spans="1:9" ht="15.75" customHeight="1">
      <c r="A146" s="5">
        <v>700010200</v>
      </c>
      <c r="B146" s="5">
        <v>7000216</v>
      </c>
      <c r="C146" s="5" t="s">
        <v>13</v>
      </c>
      <c r="D146" s="5">
        <v>11.6</v>
      </c>
      <c r="E146" s="6">
        <f t="shared" si="15"/>
        <v>6</v>
      </c>
      <c r="F146" s="5">
        <v>20</v>
      </c>
      <c r="G146" s="6">
        <f t="shared" si="16"/>
        <v>6</v>
      </c>
      <c r="H146" s="5">
        <v>6</v>
      </c>
      <c r="I146" s="5" t="str">
        <f>IF(AVERAGE(E146,G146)=H146,"COINCIDE",IF(G146=H146,"INCONGRUENTE",IF(H146=7,"COINCIDE","DISTINTO")))</f>
        <v>COINCIDE</v>
      </c>
    </row>
    <row r="147" spans="1:9" ht="15.75" customHeight="1">
      <c r="A147" s="5">
        <v>700040500</v>
      </c>
      <c r="B147" s="5">
        <v>7000217</v>
      </c>
      <c r="C147" s="5" t="s">
        <v>13</v>
      </c>
      <c r="D147" s="5">
        <v>11.7</v>
      </c>
      <c r="E147" s="6">
        <f t="shared" si="15"/>
        <v>6</v>
      </c>
      <c r="F147" s="5">
        <v>13</v>
      </c>
      <c r="G147" s="6">
        <f t="shared" si="16"/>
        <v>6</v>
      </c>
      <c r="H147" s="5">
        <v>6</v>
      </c>
      <c r="I147" s="5" t="str">
        <f>IF(AVERAGE(E147,G147)=H147,"COINCIDE",IF(G147=H147,"INCONGRUENTE",IF(H147=7,"COINCIDE","DISTINTO")))</f>
        <v>COINCIDE</v>
      </c>
    </row>
    <row r="148" spans="1:9" ht="15.75" customHeight="1">
      <c r="A148" s="9">
        <v>700041200</v>
      </c>
      <c r="B148" s="9">
        <v>7000218</v>
      </c>
      <c r="C148" s="9" t="s">
        <v>13</v>
      </c>
      <c r="D148" s="9">
        <v>6.47</v>
      </c>
      <c r="E148" s="32">
        <f t="shared" si="15"/>
        <v>5</v>
      </c>
      <c r="F148" s="9">
        <v>9</v>
      </c>
      <c r="G148" s="32">
        <f t="shared" si="16"/>
        <v>5</v>
      </c>
      <c r="H148" s="9">
        <v>6</v>
      </c>
      <c r="I148" s="9" t="str">
        <f>IF(AVERAGE(E148,G148)=H148,"COINCIDE",IF(G148=H148,"INCONGRUENTE",IF(H148=7,"COINCIDE","DISTINTO")))</f>
        <v>DISTINTO</v>
      </c>
    </row>
    <row r="149" spans="1:9" ht="15.75" customHeight="1">
      <c r="A149" s="5">
        <v>700041500</v>
      </c>
      <c r="B149" s="5">
        <v>7000219</v>
      </c>
      <c r="C149" s="5" t="s">
        <v>13</v>
      </c>
      <c r="D149" s="5">
        <v>0.55200000000000005</v>
      </c>
      <c r="E149" s="6">
        <f t="shared" si="15"/>
        <v>3</v>
      </c>
      <c r="F149" s="5">
        <v>0.63600000000000001</v>
      </c>
      <c r="G149" s="6">
        <f t="shared" si="16"/>
        <v>3</v>
      </c>
      <c r="H149" s="5">
        <v>3</v>
      </c>
      <c r="I149" s="5" t="str">
        <f>IF(AVERAGE(E149,G149)=H149,"COINCIDE",IF(G149=H149,"INCONGRUENTE",IF(H149=7,"COINCIDE","DISTINTO")))</f>
        <v>COINCIDE</v>
      </c>
    </row>
    <row r="150" spans="1:9" ht="15.75" customHeight="1">
      <c r="A150" s="9">
        <v>700052000</v>
      </c>
      <c r="B150" s="9">
        <v>7000220</v>
      </c>
      <c r="C150" s="9" t="s">
        <v>13</v>
      </c>
      <c r="D150" s="9">
        <v>5.87</v>
      </c>
      <c r="E150" s="32">
        <f t="shared" si="15"/>
        <v>5</v>
      </c>
      <c r="F150" s="9">
        <v>9</v>
      </c>
      <c r="G150" s="32">
        <f t="shared" si="16"/>
        <v>5</v>
      </c>
      <c r="H150" s="9">
        <v>6</v>
      </c>
      <c r="I150" s="9" t="str">
        <f>IF(AVERAGE(E150,G150)=H150,"COINCIDE",IF(G150=H150,"INCONGRUENTE",IF(H150=7,"COINCIDE","DISTINTO")))</f>
        <v>DISTINTO</v>
      </c>
    </row>
    <row r="151" spans="1:9" ht="15.75" customHeight="1">
      <c r="A151" s="9">
        <v>700040700</v>
      </c>
      <c r="B151" s="9">
        <v>7000221</v>
      </c>
      <c r="C151" s="9" t="s">
        <v>13</v>
      </c>
      <c r="D151" s="9">
        <v>6.24</v>
      </c>
      <c r="E151" s="32">
        <f t="shared" si="15"/>
        <v>5</v>
      </c>
      <c r="F151" s="9">
        <v>7</v>
      </c>
      <c r="G151" s="32">
        <f t="shared" si="16"/>
        <v>5</v>
      </c>
      <c r="H151" s="9">
        <v>6</v>
      </c>
      <c r="I151" s="9" t="str">
        <f>IF(AVERAGE(E151,G151)=H151,"COINCIDE",IF(G151=H151,"INCONGRUENTE",IF(H151=7,"COINCIDE","DISTINTO")))</f>
        <v>DISTINTO</v>
      </c>
    </row>
    <row r="152" spans="1:9" ht="15.75" customHeight="1">
      <c r="A152" s="5">
        <v>700011700</v>
      </c>
      <c r="B152" s="5">
        <v>7000222</v>
      </c>
      <c r="C152" s="5" t="s">
        <v>13</v>
      </c>
      <c r="D152" s="5">
        <v>15.8</v>
      </c>
      <c r="E152" s="6">
        <f t="shared" si="15"/>
        <v>6</v>
      </c>
      <c r="F152" s="5">
        <v>17</v>
      </c>
      <c r="G152" s="6">
        <f t="shared" si="16"/>
        <v>6</v>
      </c>
      <c r="H152" s="5">
        <v>6</v>
      </c>
      <c r="I152" s="5" t="str">
        <f>IF(AVERAGE(E152,G152)=H152,"COINCIDE",IF(G152=H152,"INCONGRUENTE",IF(H152=7,"COINCIDE","DISTINTO")))</f>
        <v>COINCIDE</v>
      </c>
    </row>
    <row r="153" spans="1:9" ht="15.75" customHeight="1">
      <c r="A153" s="5">
        <v>700017100</v>
      </c>
      <c r="B153" s="5">
        <v>7000223</v>
      </c>
      <c r="C153" s="5" t="s">
        <v>13</v>
      </c>
      <c r="D153" s="5">
        <v>1.54</v>
      </c>
      <c r="E153" s="6">
        <f t="shared" si="15"/>
        <v>3</v>
      </c>
      <c r="F153" s="5">
        <v>2</v>
      </c>
      <c r="G153" s="6">
        <f t="shared" si="16"/>
        <v>3</v>
      </c>
      <c r="H153" s="5">
        <v>3</v>
      </c>
      <c r="I153" s="5" t="str">
        <f>IF(AVERAGE(E153,G153)=H153,"COINCIDE",IF(G153=H153,"INCONGRUENTE",IF(H153=7,"COINCIDE","DISTINTO")))</f>
        <v>COINCIDE</v>
      </c>
    </row>
    <row r="154" spans="1:9" ht="15.75" customHeight="1">
      <c r="A154" s="5">
        <v>700051000</v>
      </c>
      <c r="B154" s="5">
        <v>7000224</v>
      </c>
      <c r="C154" s="5" t="s">
        <v>13</v>
      </c>
      <c r="D154" s="5">
        <v>25.4</v>
      </c>
      <c r="E154" s="6">
        <f t="shared" si="15"/>
        <v>6</v>
      </c>
      <c r="F154" s="5">
        <v>31</v>
      </c>
      <c r="G154" s="6">
        <f t="shared" si="16"/>
        <v>6</v>
      </c>
      <c r="H154" s="5">
        <v>7</v>
      </c>
      <c r="I154" s="5" t="str">
        <f>IF(AVERAGE(E154,G154)=H154,"COINCIDE",IF(G154=H154,"INCONGRUENTE",IF(H154=7,"COINCIDE","DISTINTO")))</f>
        <v>COINCIDE</v>
      </c>
    </row>
    <row r="155" spans="1:9" ht="15.75" customHeight="1">
      <c r="A155" s="11">
        <v>700021600</v>
      </c>
      <c r="B155" s="11">
        <v>7000225</v>
      </c>
      <c r="C155" s="11" t="s">
        <v>9</v>
      </c>
      <c r="D155" s="11">
        <v>19.600000000000001</v>
      </c>
      <c r="E155" s="38">
        <f t="shared" ref="E155:E319" si="17">IF(D155&lt;=4,1,IF(D155&lt;=10,2,IF(D155&lt;=20,3,IF(D155&lt;=40,4,IF(D155&lt;=80,5,6)))))</f>
        <v>3</v>
      </c>
      <c r="F155" s="11">
        <v>24</v>
      </c>
      <c r="G155" s="38">
        <f t="shared" ref="G155:G319" si="18">IF(F155&lt;=4,1,IF(F155&lt;=10,2,IF(F155&lt;=20,3,IF(F155&lt;=40,4,IF(F155&lt;=80,5,6)))))</f>
        <v>4</v>
      </c>
      <c r="H155" s="11">
        <v>4</v>
      </c>
      <c r="I155" s="11" t="str">
        <f>IF(AVERAGE(E155,G155)=H155,"COINCIDE",IF(G155=H155,"INCONGRUENTE","DISTINTO"))</f>
        <v>INCONGRUENTE</v>
      </c>
    </row>
    <row r="156" spans="1:9" ht="15.75" customHeight="1">
      <c r="A156" s="6">
        <v>700021400</v>
      </c>
      <c r="B156" s="6">
        <v>7000226</v>
      </c>
      <c r="C156" s="6" t="s">
        <v>9</v>
      </c>
      <c r="D156" s="6">
        <v>23.7</v>
      </c>
      <c r="E156" s="6">
        <f t="shared" si="17"/>
        <v>4</v>
      </c>
      <c r="F156" s="6">
        <v>29</v>
      </c>
      <c r="G156" s="6">
        <f t="shared" si="18"/>
        <v>4</v>
      </c>
      <c r="H156" s="6">
        <v>4</v>
      </c>
      <c r="I156" s="6" t="str">
        <f>IF(AVERAGE(E156,G156)=H156,"COINCIDE",IF(G156=H156,"INCONGRUENTE","DISTINTO"))</f>
        <v>COINCIDE</v>
      </c>
    </row>
    <row r="157" spans="1:9" ht="15.75" customHeight="1">
      <c r="A157" s="5">
        <v>700039500</v>
      </c>
      <c r="B157" s="5">
        <v>7000227</v>
      </c>
      <c r="C157" s="5" t="s">
        <v>9</v>
      </c>
      <c r="D157" s="5">
        <v>12.4</v>
      </c>
      <c r="E157" s="5">
        <f t="shared" si="17"/>
        <v>3</v>
      </c>
      <c r="F157" s="5">
        <v>14</v>
      </c>
      <c r="G157" s="5">
        <f t="shared" si="18"/>
        <v>3</v>
      </c>
      <c r="H157" s="5">
        <v>3</v>
      </c>
      <c r="I157" s="5" t="str">
        <f>IF(AVERAGE(E157,G157)=H157,"COINCIDE",IF(G157=H157,"INCONGRUENTE","DISTINTO"))</f>
        <v>COINCIDE</v>
      </c>
    </row>
    <row r="158" spans="1:9" ht="13.5" customHeight="1">
      <c r="A158" s="5">
        <v>700039400</v>
      </c>
      <c r="B158" s="5">
        <v>7000228</v>
      </c>
      <c r="C158" s="5" t="s">
        <v>9</v>
      </c>
      <c r="D158" s="5">
        <v>16.100000000000001</v>
      </c>
      <c r="E158" s="5">
        <f t="shared" si="17"/>
        <v>3</v>
      </c>
      <c r="F158" s="5">
        <v>18</v>
      </c>
      <c r="G158" s="5">
        <f t="shared" si="18"/>
        <v>3</v>
      </c>
      <c r="H158" s="5">
        <v>3</v>
      </c>
      <c r="I158" s="5" t="str">
        <f>IF(AVERAGE(E158,G158)=H158,"COINCIDE",IF(G158=H158,"INCONGRUENTE","DISTINTO"))</f>
        <v>COINCIDE</v>
      </c>
    </row>
    <row r="159" spans="1:9" ht="15.75" customHeight="1">
      <c r="A159" s="11">
        <v>700021300</v>
      </c>
      <c r="B159" s="11">
        <v>7000229</v>
      </c>
      <c r="C159" s="11" t="s">
        <v>9</v>
      </c>
      <c r="D159" s="11">
        <v>18.7</v>
      </c>
      <c r="E159" s="11">
        <f t="shared" si="17"/>
        <v>3</v>
      </c>
      <c r="F159" s="11">
        <v>24</v>
      </c>
      <c r="G159" s="11">
        <f t="shared" si="18"/>
        <v>4</v>
      </c>
      <c r="H159" s="11">
        <v>4</v>
      </c>
      <c r="I159" s="11" t="str">
        <f>IF(AVERAGE(E159,G159)=H159,"COINCIDE",IF(G159=H159,"INCONGRUENTE","DISTINTO"))</f>
        <v>INCONGRUENTE</v>
      </c>
    </row>
    <row r="160" spans="1:9" ht="15.75" customHeight="1">
      <c r="A160" s="11">
        <v>700056500</v>
      </c>
      <c r="B160" s="11">
        <v>7000230</v>
      </c>
      <c r="C160" s="11" t="s">
        <v>9</v>
      </c>
      <c r="D160" s="11">
        <v>19.399999999999999</v>
      </c>
      <c r="E160" s="11">
        <f t="shared" si="17"/>
        <v>3</v>
      </c>
      <c r="F160" s="11">
        <v>24</v>
      </c>
      <c r="G160" s="11">
        <f t="shared" si="18"/>
        <v>4</v>
      </c>
      <c r="H160" s="11">
        <v>4</v>
      </c>
      <c r="I160" s="11" t="str">
        <f>IF(AVERAGE(E160,G160)=H160,"COINCIDE",IF(G160=H160,"INCONGRUENTE","DISTINTO"))</f>
        <v>INCONGRUENTE</v>
      </c>
    </row>
    <row r="161" spans="1:9" ht="15.75" customHeight="1">
      <c r="A161" s="5">
        <v>700056100</v>
      </c>
      <c r="B161" s="5">
        <v>7000232</v>
      </c>
      <c r="C161" s="5" t="s">
        <v>9</v>
      </c>
      <c r="D161" s="5">
        <v>21</v>
      </c>
      <c r="E161" s="5">
        <f t="shared" si="17"/>
        <v>4</v>
      </c>
      <c r="F161" s="5">
        <v>25</v>
      </c>
      <c r="G161" s="5">
        <f t="shared" si="18"/>
        <v>4</v>
      </c>
      <c r="H161" s="5">
        <v>4</v>
      </c>
      <c r="I161" s="5" t="str">
        <f>IF(AVERAGE(E161,G161)=H161,"COINCIDE",IF(G161=H161,"INCONGRUENTE","DISTINTO"))</f>
        <v>COINCIDE</v>
      </c>
    </row>
    <row r="162" spans="1:9" ht="15.75" customHeight="1">
      <c r="A162" s="5">
        <v>700020000</v>
      </c>
      <c r="B162" s="5">
        <v>7000233</v>
      </c>
      <c r="C162" s="5" t="s">
        <v>9</v>
      </c>
      <c r="D162" s="5">
        <v>25.7</v>
      </c>
      <c r="E162" s="5">
        <f t="shared" si="17"/>
        <v>4</v>
      </c>
      <c r="F162" s="5">
        <v>28</v>
      </c>
      <c r="G162" s="5">
        <f t="shared" si="18"/>
        <v>4</v>
      </c>
      <c r="H162" s="5">
        <v>4</v>
      </c>
      <c r="I162" s="5" t="str">
        <f>IF(AVERAGE(E162,G162)=H162,"COINCIDE",IF(G162=H162,"INCONGRUENTE","DISTINTO"))</f>
        <v>COINCIDE</v>
      </c>
    </row>
    <row r="163" spans="1:9" ht="15.75" customHeight="1">
      <c r="A163" s="5">
        <v>700020400</v>
      </c>
      <c r="B163" s="5">
        <v>7000234</v>
      </c>
      <c r="C163" s="5" t="s">
        <v>9</v>
      </c>
      <c r="D163" s="5">
        <v>31.6</v>
      </c>
      <c r="E163" s="5">
        <f t="shared" si="17"/>
        <v>4</v>
      </c>
      <c r="F163" s="5">
        <v>34</v>
      </c>
      <c r="G163" s="5">
        <f t="shared" si="18"/>
        <v>4</v>
      </c>
      <c r="H163" s="5">
        <v>4</v>
      </c>
      <c r="I163" s="5" t="str">
        <f>IF(AVERAGE(E163,G163)=H163,"COINCIDE",IF(G163=H163,"INCONGRUENTE","DISTINTO"))</f>
        <v>COINCIDE</v>
      </c>
    </row>
    <row r="164" spans="1:9" ht="14.25" customHeight="1">
      <c r="A164" s="5">
        <v>700019900</v>
      </c>
      <c r="B164" s="5">
        <v>7000235</v>
      </c>
      <c r="C164" s="5" t="s">
        <v>9</v>
      </c>
      <c r="D164" s="5">
        <v>24.1</v>
      </c>
      <c r="E164" s="5">
        <f t="shared" si="17"/>
        <v>4</v>
      </c>
      <c r="F164" s="5">
        <v>25</v>
      </c>
      <c r="G164" s="5">
        <f t="shared" si="18"/>
        <v>4</v>
      </c>
      <c r="H164" s="5">
        <v>4</v>
      </c>
      <c r="I164" s="5" t="str">
        <f>IF(AVERAGE(E164,G164)=H164,"COINCIDE",IF(G164=H164,"INCONGRUENTE","DISTINTO"))</f>
        <v>COINCIDE</v>
      </c>
    </row>
    <row r="165" spans="1:9" ht="15.75" customHeight="1">
      <c r="A165" s="5">
        <v>700020200</v>
      </c>
      <c r="B165" s="5">
        <v>7000237</v>
      </c>
      <c r="C165" s="5" t="s">
        <v>9</v>
      </c>
      <c r="D165" s="5">
        <v>31.7</v>
      </c>
      <c r="E165" s="5">
        <f t="shared" si="17"/>
        <v>4</v>
      </c>
      <c r="F165" s="5">
        <v>34</v>
      </c>
      <c r="G165" s="5">
        <f t="shared" si="18"/>
        <v>4</v>
      </c>
      <c r="H165" s="5">
        <v>4</v>
      </c>
      <c r="I165" s="5" t="str">
        <f>IF(AVERAGE(E165,G165)=H165,"COINCIDE",IF(G165=H165,"INCONGRUENTE","DISTINTO"))</f>
        <v>COINCIDE</v>
      </c>
    </row>
    <row r="166" spans="1:9" ht="15.75" customHeight="1">
      <c r="A166" s="11">
        <v>700033900</v>
      </c>
      <c r="B166" s="11">
        <v>7000239</v>
      </c>
      <c r="C166" s="11" t="s">
        <v>9</v>
      </c>
      <c r="D166" s="11">
        <v>9.86</v>
      </c>
      <c r="E166" s="35">
        <f t="shared" si="17"/>
        <v>2</v>
      </c>
      <c r="F166" s="11">
        <v>11</v>
      </c>
      <c r="G166" s="35">
        <f t="shared" si="18"/>
        <v>3</v>
      </c>
      <c r="H166" s="11">
        <v>3</v>
      </c>
      <c r="I166" s="35" t="str">
        <f>IF(AVERAGE(E166,G166)=H166,"COINCIDE",IF(G166=H166,"INCONGRUENTE","DISTINTO"))</f>
        <v>INCONGRUENTE</v>
      </c>
    </row>
    <row r="167" spans="1:9" ht="15.75" customHeight="1">
      <c r="A167" s="11">
        <v>700019800</v>
      </c>
      <c r="B167" s="11">
        <v>7000240</v>
      </c>
      <c r="C167" s="11" t="s">
        <v>9</v>
      </c>
      <c r="D167" s="11">
        <v>18.100000000000001</v>
      </c>
      <c r="E167" s="35">
        <f t="shared" si="17"/>
        <v>3</v>
      </c>
      <c r="F167" s="11">
        <v>24</v>
      </c>
      <c r="G167" s="35">
        <f t="shared" si="18"/>
        <v>4</v>
      </c>
      <c r="H167" s="11">
        <v>4</v>
      </c>
      <c r="I167" s="35" t="str">
        <f>IF(AVERAGE(E167,G167)=H167,"COINCIDE",IF(G167=H167,"INCONGRUENTE","DISTINTO"))</f>
        <v>INCONGRUENTE</v>
      </c>
    </row>
    <row r="168" spans="1:9" ht="15.75" customHeight="1">
      <c r="A168" s="11">
        <v>700034300</v>
      </c>
      <c r="B168" s="11">
        <v>7000241</v>
      </c>
      <c r="C168" s="11" t="s">
        <v>9</v>
      </c>
      <c r="D168" s="39">
        <v>9.91</v>
      </c>
      <c r="E168" s="35">
        <f t="shared" si="17"/>
        <v>2</v>
      </c>
      <c r="F168" s="11">
        <v>13</v>
      </c>
      <c r="G168" s="35">
        <f t="shared" si="18"/>
        <v>3</v>
      </c>
      <c r="H168" s="11">
        <v>3</v>
      </c>
      <c r="I168" s="35" t="str">
        <f>IF(AVERAGE(E168,G168)=H168,"COINCIDE",IF(G168=H168,"INCONGRUENTE","DISTINTO"))</f>
        <v>INCONGRUENTE</v>
      </c>
    </row>
    <row r="169" spans="1:9" ht="15.75" customHeight="1">
      <c r="A169" s="11">
        <v>700019700</v>
      </c>
      <c r="B169" s="11">
        <v>7000242</v>
      </c>
      <c r="C169" s="11" t="s">
        <v>9</v>
      </c>
      <c r="D169" s="39">
        <v>19.399999999999999</v>
      </c>
      <c r="E169" s="35">
        <f t="shared" si="17"/>
        <v>3</v>
      </c>
      <c r="F169" s="11">
        <v>23</v>
      </c>
      <c r="G169" s="35">
        <f t="shared" si="18"/>
        <v>4</v>
      </c>
      <c r="H169" s="11">
        <v>4</v>
      </c>
      <c r="I169" s="35" t="str">
        <f>IF(AVERAGE(E169,G169)=H169,"COINCIDE",IF(G169=H169,"INCONGRUENTE","DISTINTO"))</f>
        <v>INCONGRUENTE</v>
      </c>
    </row>
    <row r="170" spans="1:9" ht="15.75" customHeight="1">
      <c r="A170" s="9">
        <v>700055900</v>
      </c>
      <c r="B170" s="9">
        <v>7000243</v>
      </c>
      <c r="C170" s="9" t="s">
        <v>9</v>
      </c>
      <c r="D170" s="9">
        <v>17.100000000000001</v>
      </c>
      <c r="E170" s="9">
        <f t="shared" si="17"/>
        <v>3</v>
      </c>
      <c r="F170" s="9">
        <v>20</v>
      </c>
      <c r="G170" s="9">
        <f t="shared" si="18"/>
        <v>3</v>
      </c>
      <c r="H170" s="9">
        <v>4</v>
      </c>
      <c r="I170" s="9" t="str">
        <f>IF(AVERAGE(E170,G170)=H170,"COINCIDE",IF(G170=H170,"INCONGRUENTE",IF(H170=7,"COINCIDE","DISTINTO")))</f>
        <v>DISTINTO</v>
      </c>
    </row>
    <row r="171" spans="1:9" ht="15.75" customHeight="1">
      <c r="A171" s="9">
        <v>700034500</v>
      </c>
      <c r="B171" s="9">
        <v>7000244</v>
      </c>
      <c r="C171" s="9" t="s">
        <v>9</v>
      </c>
      <c r="D171" s="9">
        <v>10.8</v>
      </c>
      <c r="E171" s="9">
        <f t="shared" si="17"/>
        <v>3</v>
      </c>
      <c r="F171" s="9">
        <v>15</v>
      </c>
      <c r="G171" s="9">
        <f t="shared" si="18"/>
        <v>3</v>
      </c>
      <c r="H171" s="9">
        <v>4</v>
      </c>
      <c r="I171" s="9" t="str">
        <f>IF(AVERAGE(E171,G171)=H171,"COINCIDE",IF(G171=H171,"INCONGRUENTE",IF(H171=7,"COINCIDE","DISTINTO")))</f>
        <v>DISTINTO</v>
      </c>
    </row>
    <row r="172" spans="1:9" ht="15.75" customHeight="1">
      <c r="A172" s="11">
        <v>700034400</v>
      </c>
      <c r="B172" s="11">
        <v>7000245</v>
      </c>
      <c r="C172" s="11" t="s">
        <v>9</v>
      </c>
      <c r="D172" s="39">
        <v>14.6</v>
      </c>
      <c r="E172" s="35">
        <f t="shared" si="17"/>
        <v>3</v>
      </c>
      <c r="F172" s="11">
        <v>21</v>
      </c>
      <c r="G172" s="35">
        <f t="shared" si="18"/>
        <v>4</v>
      </c>
      <c r="H172" s="11">
        <v>4</v>
      </c>
      <c r="I172" s="35" t="str">
        <f>IF(AVERAGE(E172,G172)=H172,"COINCIDE",IF(G172=H172,"INCONGRUENTE","DISTINTO"))</f>
        <v>INCONGRUENTE</v>
      </c>
    </row>
    <row r="173" spans="1:9" ht="12.75" customHeight="1">
      <c r="A173" s="11">
        <v>700019600</v>
      </c>
      <c r="B173" s="11">
        <v>7000246</v>
      </c>
      <c r="C173" s="11" t="s">
        <v>9</v>
      </c>
      <c r="D173" s="11">
        <v>17.7</v>
      </c>
      <c r="E173" s="35">
        <f t="shared" si="17"/>
        <v>3</v>
      </c>
      <c r="F173" s="11">
        <v>21</v>
      </c>
      <c r="G173" s="35">
        <f t="shared" si="18"/>
        <v>4</v>
      </c>
      <c r="H173" s="11">
        <v>4</v>
      </c>
      <c r="I173" s="35" t="str">
        <f>IF(AVERAGE(E173,G173)=H173,"COINCIDE",IF(G173=H173,"INCONGRUENTE","DISTINTO"))</f>
        <v>INCONGRUENTE</v>
      </c>
    </row>
    <row r="174" spans="1:9" ht="15.75" customHeight="1">
      <c r="A174" s="11">
        <v>700003300</v>
      </c>
      <c r="B174" s="11">
        <v>7000247</v>
      </c>
      <c r="C174" s="11" t="s">
        <v>9</v>
      </c>
      <c r="D174" s="39">
        <v>9.5299999999999994</v>
      </c>
      <c r="E174" s="35">
        <f t="shared" si="17"/>
        <v>2</v>
      </c>
      <c r="F174" s="11">
        <v>11</v>
      </c>
      <c r="G174" s="35">
        <f t="shared" si="18"/>
        <v>3</v>
      </c>
      <c r="H174" s="11">
        <v>3</v>
      </c>
      <c r="I174" s="35" t="str">
        <f>IF(AVERAGE(E174,G174)=H174,"COINCIDE",IF(G174=H174,"INCONGRUENTE","DISTINTO"))</f>
        <v>INCONGRUENTE</v>
      </c>
    </row>
    <row r="175" spans="1:9" ht="15.75" customHeight="1">
      <c r="A175" s="5">
        <v>700003400</v>
      </c>
      <c r="B175" s="5">
        <v>7000248</v>
      </c>
      <c r="C175" s="5" t="s">
        <v>9</v>
      </c>
      <c r="D175" s="5">
        <v>11.6</v>
      </c>
      <c r="E175" s="5">
        <f t="shared" si="17"/>
        <v>3</v>
      </c>
      <c r="F175" s="5">
        <v>17</v>
      </c>
      <c r="G175" s="5">
        <f t="shared" si="18"/>
        <v>3</v>
      </c>
      <c r="H175" s="5">
        <v>3</v>
      </c>
      <c r="I175" s="5" t="str">
        <f>IF(AVERAGE(E175,G175)=H175,"COINCIDE",IF(G175=H175,"INCONGRUENTE","DISTINTO"))</f>
        <v>COINCIDE</v>
      </c>
    </row>
    <row r="176" spans="1:9" ht="15.75" customHeight="1">
      <c r="A176" s="5">
        <v>700020700</v>
      </c>
      <c r="B176" s="5">
        <v>7000249</v>
      </c>
      <c r="C176" s="5" t="s">
        <v>9</v>
      </c>
      <c r="D176" s="5">
        <v>13</v>
      </c>
      <c r="E176" s="5">
        <f t="shared" si="17"/>
        <v>3</v>
      </c>
      <c r="F176" s="5">
        <v>16</v>
      </c>
      <c r="G176" s="5">
        <f t="shared" si="18"/>
        <v>3</v>
      </c>
      <c r="H176" s="5">
        <v>3</v>
      </c>
      <c r="I176" s="5" t="str">
        <f>IF(AVERAGE(E176,G176)=H176,"COINCIDE",IF(G176=H176,"INCONGRUENTE","DISTINTO"))</f>
        <v>COINCIDE</v>
      </c>
    </row>
    <row r="177" spans="1:9" ht="15.75" customHeight="1">
      <c r="A177" s="9">
        <v>700020600</v>
      </c>
      <c r="B177" s="9">
        <v>7000250</v>
      </c>
      <c r="C177" s="9" t="s">
        <v>9</v>
      </c>
      <c r="D177" s="9">
        <v>14.4</v>
      </c>
      <c r="E177" s="9">
        <f t="shared" si="17"/>
        <v>3</v>
      </c>
      <c r="F177" s="9">
        <v>19</v>
      </c>
      <c r="G177" s="9">
        <f t="shared" si="18"/>
        <v>3</v>
      </c>
      <c r="H177" s="9">
        <v>4</v>
      </c>
      <c r="I177" s="9" t="str">
        <f>IF(AVERAGE(E177,G177)=H177,"COINCIDE",IF(G177=H177,"INCONGRUENTE",IF(H177=7,"COINCIDE","DISTINTO")))</f>
        <v>DISTINTO</v>
      </c>
    </row>
    <row r="178" spans="1:9" ht="15.75" customHeight="1">
      <c r="A178" s="9">
        <v>700056300</v>
      </c>
      <c r="B178" s="9">
        <v>7000251</v>
      </c>
      <c r="C178" s="9" t="s">
        <v>9</v>
      </c>
      <c r="D178" s="9">
        <v>15.3</v>
      </c>
      <c r="E178" s="9">
        <f t="shared" si="17"/>
        <v>3</v>
      </c>
      <c r="F178" s="9">
        <v>18</v>
      </c>
      <c r="G178" s="9">
        <f t="shared" si="18"/>
        <v>3</v>
      </c>
      <c r="H178" s="9">
        <v>4</v>
      </c>
      <c r="I178" s="9" t="str">
        <f>IF(AVERAGE(E178,G178)=H178,"COINCIDE",IF(G178=H178,"INCONGRUENTE",IF(H178=7,"COINCIDE","DISTINTO")))</f>
        <v>DISTINTO</v>
      </c>
    </row>
    <row r="179" spans="1:9" ht="15.75" customHeight="1">
      <c r="A179" s="9">
        <v>700020800</v>
      </c>
      <c r="B179" s="9">
        <v>7000252</v>
      </c>
      <c r="C179" s="9" t="s">
        <v>9</v>
      </c>
      <c r="D179" s="9">
        <v>14.6</v>
      </c>
      <c r="E179" s="9">
        <f t="shared" si="17"/>
        <v>3</v>
      </c>
      <c r="F179" s="9">
        <v>19</v>
      </c>
      <c r="G179" s="9">
        <f t="shared" si="18"/>
        <v>3</v>
      </c>
      <c r="H179" s="9">
        <v>4</v>
      </c>
      <c r="I179" s="9" t="str">
        <f>IF(AVERAGE(E179,G179)=H179,"COINCIDE",IF(G179=H179,"INCONGRUENTE",IF(H179=7,"COINCIDE","DISTINTO")))</f>
        <v>DISTINTO</v>
      </c>
    </row>
    <row r="180" spans="1:9" ht="15.75" customHeight="1">
      <c r="A180" s="9">
        <v>700034200</v>
      </c>
      <c r="B180" s="9">
        <v>7000253</v>
      </c>
      <c r="C180" s="9" t="s">
        <v>9</v>
      </c>
      <c r="D180" s="9">
        <v>6.41</v>
      </c>
      <c r="E180" s="9">
        <f t="shared" si="17"/>
        <v>2</v>
      </c>
      <c r="F180" s="9">
        <v>9</v>
      </c>
      <c r="G180" s="9">
        <f t="shared" si="18"/>
        <v>2</v>
      </c>
      <c r="H180" s="9">
        <v>3</v>
      </c>
      <c r="I180" s="9" t="str">
        <f>IF(AVERAGE(E180,G180)=H180,"COINCIDE",IF(G180=H180,"INCONGRUENTE",IF(H180=7,"COINCIDE","DISTINTO")))</f>
        <v>DISTINTO</v>
      </c>
    </row>
    <row r="181" spans="1:9" ht="15.75" customHeight="1">
      <c r="A181" s="5">
        <v>700030000</v>
      </c>
      <c r="B181" s="5">
        <v>7000255</v>
      </c>
      <c r="C181" s="5" t="s">
        <v>9</v>
      </c>
      <c r="D181" s="5">
        <v>4.45</v>
      </c>
      <c r="E181" s="5">
        <f t="shared" si="17"/>
        <v>2</v>
      </c>
      <c r="F181" s="5">
        <v>5</v>
      </c>
      <c r="G181" s="5">
        <f t="shared" si="18"/>
        <v>2</v>
      </c>
      <c r="H181" s="5">
        <v>2</v>
      </c>
      <c r="I181" s="5" t="str">
        <f>IF(AVERAGE(E181,G181)=H181,"COINCIDE",IF(G181=H181,"INCONGRUENTE","DISTINTO"))</f>
        <v>COINCIDE</v>
      </c>
    </row>
    <row r="182" spans="1:9" ht="15.75" customHeight="1">
      <c r="A182" s="9">
        <v>700036900</v>
      </c>
      <c r="B182" s="9">
        <v>7000256</v>
      </c>
      <c r="C182" s="9" t="s">
        <v>9</v>
      </c>
      <c r="D182" s="9">
        <v>7.05</v>
      </c>
      <c r="E182" s="9">
        <f t="shared" si="17"/>
        <v>2</v>
      </c>
      <c r="F182" s="9">
        <v>9</v>
      </c>
      <c r="G182" s="9">
        <f t="shared" si="18"/>
        <v>2</v>
      </c>
      <c r="H182" s="9">
        <v>3</v>
      </c>
      <c r="I182" s="9" t="str">
        <f>IF(AVERAGE(E182,G182)=H182,"COINCIDE",IF(G182=H182,"INCONGRUENTE",IF(H182=7,"COINCIDE","DISTINTO")))</f>
        <v>DISTINTO</v>
      </c>
    </row>
    <row r="183" spans="1:9" ht="15.75" customHeight="1" thickBot="1">
      <c r="A183" s="9">
        <v>700030100</v>
      </c>
      <c r="B183" s="9">
        <v>7000257</v>
      </c>
      <c r="C183" s="9" t="s">
        <v>9</v>
      </c>
      <c r="D183" s="9">
        <v>3</v>
      </c>
      <c r="E183" s="9">
        <f t="shared" si="17"/>
        <v>1</v>
      </c>
      <c r="F183" s="9">
        <v>3</v>
      </c>
      <c r="G183" s="9">
        <f t="shared" si="18"/>
        <v>1</v>
      </c>
      <c r="H183" s="9">
        <v>2</v>
      </c>
      <c r="I183" s="9" t="str">
        <f>IF(AVERAGE(E183,G183)=H183,"COINCIDE",IF(G183=H183,"INCONGRUENTE",IF(H183=7,"COINCIDE","DISTINTO")))</f>
        <v>DISTINTO</v>
      </c>
    </row>
    <row r="184" spans="1:9" ht="15.75" customHeight="1" thickTop="1" thickBot="1">
      <c r="A184" s="40">
        <v>700005500</v>
      </c>
      <c r="B184" s="10">
        <v>7000258</v>
      </c>
      <c r="C184" s="10" t="s">
        <v>9</v>
      </c>
      <c r="D184" s="10">
        <v>4.58</v>
      </c>
      <c r="E184" s="10">
        <f t="shared" si="17"/>
        <v>2</v>
      </c>
      <c r="F184" s="10">
        <v>6</v>
      </c>
      <c r="G184" s="10">
        <f t="shared" si="18"/>
        <v>2</v>
      </c>
      <c r="H184" s="10">
        <v>2</v>
      </c>
      <c r="I184" s="10" t="str">
        <f>IF(AVERAGE(E184,G184)=H184,"COINCIDE",IF(G184=H184,"INCONGRUENTE","DISTINTO"))</f>
        <v>COINCIDE</v>
      </c>
    </row>
    <row r="185" spans="1:9" ht="15.75" customHeight="1" thickTop="1">
      <c r="A185" s="9">
        <v>700002100</v>
      </c>
      <c r="B185" s="9">
        <v>7000259</v>
      </c>
      <c r="C185" s="9" t="s">
        <v>9</v>
      </c>
      <c r="D185" s="9">
        <v>4</v>
      </c>
      <c r="E185" s="9">
        <f t="shared" si="17"/>
        <v>1</v>
      </c>
      <c r="F185" s="9">
        <v>4</v>
      </c>
      <c r="G185" s="9">
        <f t="shared" si="18"/>
        <v>1</v>
      </c>
      <c r="H185" s="9">
        <v>2</v>
      </c>
      <c r="I185" s="9" t="str">
        <f>IF(AVERAGE(E185,G185)=H185,"COINCIDE",IF(G185=H185,"INCONGRUENTE",IF(H185=7,"COINCIDE","DISTINTO")))</f>
        <v>DISTINTO</v>
      </c>
    </row>
    <row r="186" spans="1:9" ht="15.75" customHeight="1">
      <c r="A186" s="5">
        <v>700004700</v>
      </c>
      <c r="B186" s="5">
        <v>7000260</v>
      </c>
      <c r="C186" s="5" t="s">
        <v>9</v>
      </c>
      <c r="D186" s="5">
        <v>4.26</v>
      </c>
      <c r="E186" s="5">
        <f t="shared" si="17"/>
        <v>2</v>
      </c>
      <c r="F186" s="5">
        <v>5</v>
      </c>
      <c r="G186" s="5">
        <f t="shared" si="18"/>
        <v>2</v>
      </c>
      <c r="H186" s="5">
        <v>2</v>
      </c>
      <c r="I186" s="5" t="str">
        <f>IF(AVERAGE(E186,G186)=H186,"COINCIDE",IF(G186=H186,"INCONGRUENTE","DISTINTO"))</f>
        <v>COINCIDE</v>
      </c>
    </row>
    <row r="187" spans="1:9" ht="15.75" customHeight="1">
      <c r="A187" s="5">
        <v>700032200</v>
      </c>
      <c r="B187" s="5">
        <v>7000261</v>
      </c>
      <c r="C187" s="5" t="s">
        <v>9</v>
      </c>
      <c r="D187" s="5">
        <v>4.32</v>
      </c>
      <c r="E187" s="5">
        <f t="shared" si="17"/>
        <v>2</v>
      </c>
      <c r="F187" s="5">
        <v>5</v>
      </c>
      <c r="G187" s="5">
        <f t="shared" si="18"/>
        <v>2</v>
      </c>
      <c r="H187" s="5">
        <v>2</v>
      </c>
      <c r="I187" s="5" t="str">
        <f>IF(AVERAGE(E187,G187)=H187,"COINCIDE",IF(G187=H187,"INCONGRUENTE","DISTINTO"))</f>
        <v>COINCIDE</v>
      </c>
    </row>
    <row r="188" spans="1:9" ht="15.75" customHeight="1">
      <c r="A188" s="41">
        <v>700006500</v>
      </c>
      <c r="B188" s="41">
        <v>7000263</v>
      </c>
      <c r="C188" s="41" t="s">
        <v>9</v>
      </c>
      <c r="D188" s="41">
        <v>6.04</v>
      </c>
      <c r="E188" s="41">
        <f t="shared" si="17"/>
        <v>2</v>
      </c>
      <c r="F188" s="41">
        <v>7</v>
      </c>
      <c r="G188" s="41">
        <f t="shared" si="18"/>
        <v>2</v>
      </c>
      <c r="H188" s="41">
        <v>3</v>
      </c>
      <c r="I188" s="41" t="str">
        <f>IF(AVERAGE(E188,G188)=H188,"COINCIDE",IF(G188=H188,"INCONGRUENTE",IF(H188=7,"COINCIDE","DISTINTO")))</f>
        <v>DISTINTO</v>
      </c>
    </row>
    <row r="189" spans="1:9" ht="15.75" customHeight="1">
      <c r="A189" s="5">
        <v>700005400</v>
      </c>
      <c r="B189" s="5">
        <v>7000265</v>
      </c>
      <c r="C189" s="5" t="s">
        <v>9</v>
      </c>
      <c r="D189" s="5">
        <v>4.49</v>
      </c>
      <c r="E189" s="5">
        <f t="shared" si="17"/>
        <v>2</v>
      </c>
      <c r="F189" s="5">
        <v>7</v>
      </c>
      <c r="G189" s="5">
        <f t="shared" si="18"/>
        <v>2</v>
      </c>
      <c r="H189" s="5">
        <v>2</v>
      </c>
      <c r="I189" s="5" t="str">
        <f>IF(AVERAGE(E189,G189)=H189,"COINCIDE",IF(G189=H189,"INCONGRUENTE","DISTINTO"))</f>
        <v>COINCIDE</v>
      </c>
    </row>
    <row r="190" spans="1:9" ht="15.75" customHeight="1">
      <c r="A190" s="5">
        <v>700037500</v>
      </c>
      <c r="B190" s="5">
        <v>7000267</v>
      </c>
      <c r="C190" s="5" t="s">
        <v>9</v>
      </c>
      <c r="D190" s="5">
        <v>4.78</v>
      </c>
      <c r="E190" s="5">
        <f t="shared" si="17"/>
        <v>2</v>
      </c>
      <c r="F190" s="5">
        <v>7</v>
      </c>
      <c r="G190" s="5">
        <f t="shared" si="18"/>
        <v>2</v>
      </c>
      <c r="H190" s="5">
        <v>2</v>
      </c>
      <c r="I190" s="5" t="str">
        <f>IF(AVERAGE(E190,G190)=H190,"COINCIDE",IF(G190=H190,"INCONGRUENTE","DISTINTO"))</f>
        <v>COINCIDE</v>
      </c>
    </row>
    <row r="191" spans="1:9" ht="15.75" customHeight="1">
      <c r="A191" s="9">
        <v>700030200</v>
      </c>
      <c r="B191" s="9">
        <v>7000268</v>
      </c>
      <c r="C191" s="9" t="s">
        <v>9</v>
      </c>
      <c r="D191" s="9">
        <v>3.18</v>
      </c>
      <c r="E191" s="9">
        <f t="shared" si="17"/>
        <v>1</v>
      </c>
      <c r="F191" s="9">
        <v>4</v>
      </c>
      <c r="G191" s="9">
        <f t="shared" si="18"/>
        <v>1</v>
      </c>
      <c r="H191" s="9">
        <v>2</v>
      </c>
      <c r="I191" s="9" t="str">
        <f>IF(AVERAGE(E191,G191)=H191,"COINCIDE",IF(G191=H191,"INCONGRUENTE",IF(H191=7,"COINCIDE","DISTINTO")))</f>
        <v>DISTINTO</v>
      </c>
    </row>
    <row r="192" spans="1:9" ht="15.75" customHeight="1">
      <c r="A192" s="5">
        <v>700030300</v>
      </c>
      <c r="B192" s="5">
        <v>7000269</v>
      </c>
      <c r="C192" s="5" t="s">
        <v>9</v>
      </c>
      <c r="D192" s="5">
        <v>5.26</v>
      </c>
      <c r="E192" s="5">
        <f t="shared" si="17"/>
        <v>2</v>
      </c>
      <c r="F192" s="5">
        <v>7</v>
      </c>
      <c r="G192" s="5">
        <f t="shared" si="18"/>
        <v>2</v>
      </c>
      <c r="H192" s="5">
        <v>2</v>
      </c>
      <c r="I192" s="5" t="str">
        <f>IF(AVERAGE(E192,G192)=H192,"COINCIDE",IF(G192=H192,"INCONGRUENTE","DISTINTO"))</f>
        <v>COINCIDE</v>
      </c>
    </row>
    <row r="193" spans="1:9" ht="15.75" customHeight="1">
      <c r="A193" s="11">
        <v>700046400</v>
      </c>
      <c r="B193" s="11">
        <v>7000272</v>
      </c>
      <c r="C193" s="11" t="s">
        <v>9</v>
      </c>
      <c r="D193" s="11">
        <v>9.36</v>
      </c>
      <c r="E193" s="35">
        <f t="shared" si="17"/>
        <v>2</v>
      </c>
      <c r="F193" s="11">
        <v>12</v>
      </c>
      <c r="G193" s="35">
        <f t="shared" si="18"/>
        <v>3</v>
      </c>
      <c r="H193" s="11">
        <v>3</v>
      </c>
      <c r="I193" s="35" t="str">
        <f>IF(AVERAGE(E193,G193)=H193,"COINCIDE",IF(G193=H193,"INCONGRUENTE","DISTINTO"))</f>
        <v>INCONGRUENTE</v>
      </c>
    </row>
    <row r="194" spans="1:9" ht="15.75" customHeight="1">
      <c r="A194" s="9">
        <v>700012000</v>
      </c>
      <c r="B194" s="9">
        <v>7000273</v>
      </c>
      <c r="C194" s="9" t="s">
        <v>9</v>
      </c>
      <c r="D194" s="9">
        <v>3.12</v>
      </c>
      <c r="E194" s="9">
        <f t="shared" si="17"/>
        <v>1</v>
      </c>
      <c r="F194" s="9">
        <v>4</v>
      </c>
      <c r="G194" s="9">
        <f t="shared" si="18"/>
        <v>1</v>
      </c>
      <c r="H194" s="9">
        <v>2</v>
      </c>
      <c r="I194" s="9" t="str">
        <f>IF(AVERAGE(E194,G194)=H194,"COINCIDE",IF(G194=H194,"INCONGRUENTE",IF(H194=7,"COINCIDE","DISTINTO")))</f>
        <v>DISTINTO</v>
      </c>
    </row>
    <row r="195" spans="1:9" ht="15.75" customHeight="1">
      <c r="A195" s="9">
        <v>700046700</v>
      </c>
      <c r="B195" s="9">
        <v>7000274</v>
      </c>
      <c r="C195" s="9" t="s">
        <v>9</v>
      </c>
      <c r="D195" s="9">
        <v>6.1</v>
      </c>
      <c r="E195" s="9">
        <f t="shared" si="17"/>
        <v>2</v>
      </c>
      <c r="F195" s="9">
        <v>8</v>
      </c>
      <c r="G195" s="9">
        <f t="shared" si="18"/>
        <v>2</v>
      </c>
      <c r="H195" s="9">
        <v>3</v>
      </c>
      <c r="I195" s="9" t="str">
        <f>IF(AVERAGE(E195,G195)=H195,"COINCIDE",IF(G195=H195,"INCONGRUENTE",IF(H195=7,"COINCIDE","DISTINTO")))</f>
        <v>DISTINTO</v>
      </c>
    </row>
    <row r="196" spans="1:9" ht="15.75" customHeight="1">
      <c r="A196" s="9">
        <v>700046900</v>
      </c>
      <c r="B196" s="9">
        <v>7000275</v>
      </c>
      <c r="C196" s="9" t="s">
        <v>9</v>
      </c>
      <c r="D196" s="9">
        <v>14.5</v>
      </c>
      <c r="E196" s="9">
        <f t="shared" si="17"/>
        <v>3</v>
      </c>
      <c r="F196" s="9">
        <v>18</v>
      </c>
      <c r="G196" s="9">
        <f t="shared" si="18"/>
        <v>3</v>
      </c>
      <c r="H196" s="9">
        <v>4</v>
      </c>
      <c r="I196" s="9" t="str">
        <f>IF(AVERAGE(E196,G196)=H196,"COINCIDE",IF(G196=H196,"INCONGRUENTE",IF(H196=7,"COINCIDE","DISTINTO")))</f>
        <v>DISTINTO</v>
      </c>
    </row>
    <row r="197" spans="1:9" ht="15.75" customHeight="1">
      <c r="A197" s="9">
        <v>700047300</v>
      </c>
      <c r="B197" s="9">
        <v>7000276</v>
      </c>
      <c r="C197" s="9" t="s">
        <v>9</v>
      </c>
      <c r="D197" s="9">
        <v>12.7</v>
      </c>
      <c r="E197" s="9">
        <f t="shared" si="17"/>
        <v>3</v>
      </c>
      <c r="F197" s="9">
        <v>16</v>
      </c>
      <c r="G197" s="9">
        <f t="shared" si="18"/>
        <v>3</v>
      </c>
      <c r="H197" s="9">
        <v>4</v>
      </c>
      <c r="I197" s="9" t="str">
        <f>IF(AVERAGE(E197,G197)=H197,"COINCIDE",IF(G197=H197,"INCONGRUENTE",IF(H197=7,"COINCIDE","DISTINTO")))</f>
        <v>DISTINTO</v>
      </c>
    </row>
    <row r="198" spans="1:9" ht="15.75" customHeight="1">
      <c r="A198" s="5">
        <v>700012200</v>
      </c>
      <c r="B198" s="5">
        <v>7000277</v>
      </c>
      <c r="C198" s="5" t="s">
        <v>9</v>
      </c>
      <c r="D198" s="5">
        <v>11</v>
      </c>
      <c r="E198" s="5">
        <f t="shared" si="17"/>
        <v>3</v>
      </c>
      <c r="F198" s="5">
        <v>13</v>
      </c>
      <c r="G198" s="5">
        <f t="shared" si="18"/>
        <v>3</v>
      </c>
      <c r="H198" s="5">
        <v>3</v>
      </c>
      <c r="I198" s="5" t="str">
        <f>IF(AVERAGE(E198,G198)=H198,"COINCIDE",IF(G198=H198,"INCONGRUENTE","DISTINTO"))</f>
        <v>COINCIDE</v>
      </c>
    </row>
    <row r="199" spans="1:9" ht="15.75" customHeight="1">
      <c r="A199" s="11">
        <v>700012100</v>
      </c>
      <c r="B199" s="11">
        <v>7000278</v>
      </c>
      <c r="C199" s="11" t="s">
        <v>9</v>
      </c>
      <c r="D199" s="11">
        <v>19.100000000000001</v>
      </c>
      <c r="E199" s="35">
        <f t="shared" si="17"/>
        <v>3</v>
      </c>
      <c r="F199" s="11">
        <v>24</v>
      </c>
      <c r="G199" s="35">
        <f t="shared" si="18"/>
        <v>4</v>
      </c>
      <c r="H199" s="11">
        <v>4</v>
      </c>
      <c r="I199" s="35" t="str">
        <f>IF(AVERAGE(E199,G199)=H199,"COINCIDE",IF(G199=H199,"INCONGRUENTE","DISTINTO"))</f>
        <v>INCONGRUENTE</v>
      </c>
    </row>
    <row r="200" spans="1:9" ht="15.75" customHeight="1">
      <c r="A200" s="11">
        <v>700046800</v>
      </c>
      <c r="B200" s="11">
        <v>7000279</v>
      </c>
      <c r="C200" s="11" t="s">
        <v>9</v>
      </c>
      <c r="D200" s="11">
        <v>16.899999999999999</v>
      </c>
      <c r="E200" s="35">
        <f t="shared" si="17"/>
        <v>3</v>
      </c>
      <c r="F200" s="11">
        <v>21</v>
      </c>
      <c r="G200" s="35">
        <f t="shared" si="18"/>
        <v>4</v>
      </c>
      <c r="H200" s="11">
        <v>4</v>
      </c>
      <c r="I200" s="35" t="str">
        <f>IF(AVERAGE(E200,G200)=H200,"COINCIDE",IF(G200=H200,"INCONGRUENTE","DISTINTO"))</f>
        <v>INCONGRUENTE</v>
      </c>
    </row>
    <row r="201" spans="1:9" ht="15.75" customHeight="1">
      <c r="A201" s="9">
        <v>700046600</v>
      </c>
      <c r="B201" s="9">
        <v>7000280</v>
      </c>
      <c r="C201" s="9" t="s">
        <v>9</v>
      </c>
      <c r="D201" s="9">
        <v>9.11</v>
      </c>
      <c r="E201" s="9">
        <f t="shared" si="17"/>
        <v>2</v>
      </c>
      <c r="F201" s="9">
        <v>10</v>
      </c>
      <c r="G201" s="9">
        <f t="shared" si="18"/>
        <v>2</v>
      </c>
      <c r="H201" s="9">
        <v>3</v>
      </c>
      <c r="I201" s="9" t="str">
        <f>IF(AVERAGE(E201,G201)=H201,"COINCIDE",IF(G201=H201,"INCONGRUENTE",IF(H201=7,"COINCIDE","DISTINTO")))</f>
        <v>DISTINTO</v>
      </c>
    </row>
    <row r="202" spans="1:9" ht="15.75" customHeight="1">
      <c r="A202" s="9">
        <v>700047000</v>
      </c>
      <c r="B202" s="9">
        <v>7000283</v>
      </c>
      <c r="C202" s="9" t="s">
        <v>9</v>
      </c>
      <c r="D202" s="9">
        <v>13.6</v>
      </c>
      <c r="E202" s="9">
        <f t="shared" si="17"/>
        <v>3</v>
      </c>
      <c r="F202" s="9">
        <v>16</v>
      </c>
      <c r="G202" s="9">
        <f t="shared" si="18"/>
        <v>3</v>
      </c>
      <c r="H202" s="9">
        <v>4</v>
      </c>
      <c r="I202" s="9" t="str">
        <f>IF(AVERAGE(E202,G202)=H202,"COINCIDE",IF(G202=H202,"INCONGRUENTE",IF(H202=7,"COINCIDE","DISTINTO")))</f>
        <v>DISTINTO</v>
      </c>
    </row>
    <row r="203" spans="1:9" ht="15.75" customHeight="1">
      <c r="A203" s="9">
        <v>700005000</v>
      </c>
      <c r="B203" s="9">
        <v>7000284</v>
      </c>
      <c r="C203" s="9" t="s">
        <v>9</v>
      </c>
      <c r="D203" s="9">
        <v>3.94</v>
      </c>
      <c r="E203" s="9">
        <f t="shared" si="17"/>
        <v>1</v>
      </c>
      <c r="F203" s="9">
        <v>4</v>
      </c>
      <c r="G203" s="9">
        <f t="shared" si="18"/>
        <v>1</v>
      </c>
      <c r="H203" s="9">
        <v>2</v>
      </c>
      <c r="I203" s="9" t="str">
        <f>IF(AVERAGE(E203,G203)=H203,"COINCIDE",IF(G203=H203,"INCONGRUENTE",IF(H203=7,"COINCIDE","DISTINTO")))</f>
        <v>DISTINTO</v>
      </c>
    </row>
    <row r="204" spans="1:9" ht="15.75" customHeight="1">
      <c r="A204" s="11">
        <v>700037400</v>
      </c>
      <c r="B204" s="11">
        <v>7000285</v>
      </c>
      <c r="C204" s="11" t="s">
        <v>9</v>
      </c>
      <c r="D204" s="11">
        <v>3.9</v>
      </c>
      <c r="E204" s="35">
        <f t="shared" si="17"/>
        <v>1</v>
      </c>
      <c r="F204" s="11">
        <v>5</v>
      </c>
      <c r="G204" s="35">
        <f t="shared" si="18"/>
        <v>2</v>
      </c>
      <c r="H204" s="11">
        <v>2</v>
      </c>
      <c r="I204" s="35" t="str">
        <f>IF(AVERAGE(E204,G204)=H204,"COINCIDE",IF(G204=H204,"INCONGRUENTE","DISTINTO"))</f>
        <v>INCONGRUENTE</v>
      </c>
    </row>
    <row r="205" spans="1:9" ht="15.75" customHeight="1">
      <c r="A205" s="12">
        <v>700032300</v>
      </c>
      <c r="B205" s="5">
        <v>7000286</v>
      </c>
      <c r="C205" s="5" t="s">
        <v>9</v>
      </c>
      <c r="D205" s="5">
        <v>5.63</v>
      </c>
      <c r="E205" s="5">
        <f t="shared" si="17"/>
        <v>2</v>
      </c>
      <c r="F205" s="5">
        <v>9</v>
      </c>
      <c r="G205" s="5">
        <f t="shared" si="18"/>
        <v>2</v>
      </c>
      <c r="H205" s="5">
        <v>2</v>
      </c>
      <c r="I205" s="5" t="str">
        <f>IF(AVERAGE(E205,G205)=H205,"COINCIDE",IF(G205=H205,"INCONGRUENTE","DISTINTO"))</f>
        <v>COINCIDE</v>
      </c>
    </row>
    <row r="206" spans="1:9" ht="15.75" customHeight="1">
      <c r="A206" s="18">
        <v>700047100</v>
      </c>
      <c r="B206" s="9">
        <v>7000289</v>
      </c>
      <c r="C206" s="9" t="s">
        <v>9</v>
      </c>
      <c r="D206" s="9">
        <v>6.59</v>
      </c>
      <c r="E206" s="9">
        <f t="shared" si="17"/>
        <v>2</v>
      </c>
      <c r="F206" s="9">
        <v>8</v>
      </c>
      <c r="G206" s="9">
        <f t="shared" si="18"/>
        <v>2</v>
      </c>
      <c r="H206" s="9">
        <v>3</v>
      </c>
      <c r="I206" s="9" t="str">
        <f>IF(AVERAGE(E206,G206)=H206,"COINCIDE",IF(G206=H206,"INCONGRUENTE",IF(H206=7,"COINCIDE","DISTINTO")))</f>
        <v>DISTINTO</v>
      </c>
    </row>
    <row r="207" spans="1:9" ht="15.75" customHeight="1">
      <c r="A207" s="9">
        <v>700052300</v>
      </c>
      <c r="B207" s="9">
        <v>7000290</v>
      </c>
      <c r="C207" s="9" t="s">
        <v>9</v>
      </c>
      <c r="D207" s="9">
        <v>3.06</v>
      </c>
      <c r="E207" s="9">
        <f t="shared" si="17"/>
        <v>1</v>
      </c>
      <c r="F207" s="9">
        <v>4</v>
      </c>
      <c r="G207" s="9">
        <f t="shared" si="18"/>
        <v>1</v>
      </c>
      <c r="H207" s="9">
        <v>2</v>
      </c>
      <c r="I207" s="9" t="str">
        <f>IF(AVERAGE(E207,G207)=H207,"COINCIDE",IF(G207=H207,"INCONGRUENTE",IF(H207=7,"COINCIDE","DISTINTO")))</f>
        <v>DISTINTO</v>
      </c>
    </row>
    <row r="208" spans="1:9" ht="15.75" customHeight="1">
      <c r="A208" s="9">
        <v>700015500</v>
      </c>
      <c r="B208" s="9">
        <v>7000291</v>
      </c>
      <c r="C208" s="9" t="s">
        <v>9</v>
      </c>
      <c r="D208" s="18">
        <v>4.13</v>
      </c>
      <c r="E208" s="9">
        <f t="shared" si="17"/>
        <v>2</v>
      </c>
      <c r="F208" s="9">
        <v>4</v>
      </c>
      <c r="G208" s="9">
        <f t="shared" si="18"/>
        <v>1</v>
      </c>
      <c r="H208" s="9">
        <v>2</v>
      </c>
      <c r="I208" s="9" t="str">
        <f>IF(AVERAGE(E208,G208)=H208,"COINCIDE",IF(G208=H208,"INCONGRUENTE",IF(H208=7,"COINCIDE","DISTINTO")))</f>
        <v>DISTINTO</v>
      </c>
    </row>
    <row r="209" spans="1:9" ht="15.75" customHeight="1">
      <c r="A209" s="5">
        <v>700028000</v>
      </c>
      <c r="B209" s="5">
        <v>7000292</v>
      </c>
      <c r="C209" s="5" t="s">
        <v>9</v>
      </c>
      <c r="D209" s="5">
        <v>7.3</v>
      </c>
      <c r="E209" s="5">
        <f t="shared" si="17"/>
        <v>2</v>
      </c>
      <c r="F209" s="5">
        <v>9</v>
      </c>
      <c r="G209" s="5">
        <f t="shared" si="18"/>
        <v>2</v>
      </c>
      <c r="H209" s="5">
        <v>2</v>
      </c>
      <c r="I209" s="5" t="str">
        <f>IF(AVERAGE(E209,G209)=H209,"COINCIDE",IF(G209=H209,"INCONGRUENTE","DISTINTO"))</f>
        <v>COINCIDE</v>
      </c>
    </row>
    <row r="210" spans="1:9" ht="15.75" customHeight="1">
      <c r="A210" s="5">
        <v>700050200</v>
      </c>
      <c r="B210" s="5">
        <v>7000293</v>
      </c>
      <c r="C210" s="5" t="s">
        <v>9</v>
      </c>
      <c r="D210" s="5">
        <v>6.01</v>
      </c>
      <c r="E210" s="5">
        <f t="shared" si="17"/>
        <v>2</v>
      </c>
      <c r="F210" s="5">
        <v>8</v>
      </c>
      <c r="G210" s="5">
        <f t="shared" si="18"/>
        <v>2</v>
      </c>
      <c r="H210" s="5">
        <v>2</v>
      </c>
      <c r="I210" s="5" t="str">
        <f>IF(AVERAGE(E210,G210)=H210,"COINCIDE",IF(G210=H210,"INCONGRUENTE","DISTINTO"))</f>
        <v>COINCIDE</v>
      </c>
    </row>
    <row r="211" spans="1:9" ht="15.75" customHeight="1">
      <c r="A211" s="5">
        <v>700015400</v>
      </c>
      <c r="B211" s="5">
        <v>7000294</v>
      </c>
      <c r="C211" s="5" t="s">
        <v>9</v>
      </c>
      <c r="D211" s="5">
        <v>5.32</v>
      </c>
      <c r="E211" s="5">
        <f t="shared" si="17"/>
        <v>2</v>
      </c>
      <c r="F211" s="5">
        <v>6</v>
      </c>
      <c r="G211" s="5">
        <f t="shared" si="18"/>
        <v>2</v>
      </c>
      <c r="H211" s="5">
        <v>2</v>
      </c>
      <c r="I211" s="5" t="str">
        <f>IF(AVERAGE(E211,G211)=H211,"COINCIDE",IF(G211=H211,"INCONGRUENTE","DISTINTO"))</f>
        <v>COINCIDE</v>
      </c>
    </row>
    <row r="212" spans="1:9" ht="15.75" customHeight="1">
      <c r="A212" s="5">
        <v>700028300</v>
      </c>
      <c r="B212" s="5">
        <v>7000300</v>
      </c>
      <c r="C212" s="5" t="s">
        <v>9</v>
      </c>
      <c r="D212" s="5">
        <v>6.29</v>
      </c>
      <c r="E212" s="5">
        <f t="shared" si="17"/>
        <v>2</v>
      </c>
      <c r="F212" s="5">
        <v>7</v>
      </c>
      <c r="G212" s="5">
        <f t="shared" si="18"/>
        <v>2</v>
      </c>
      <c r="H212" s="5">
        <v>2</v>
      </c>
      <c r="I212" s="5" t="str">
        <f>IF(AVERAGE(E212,G212)=H212,"COINCIDE",IF(G212=H212,"INCONGRUENTE","DISTINTO"))</f>
        <v>COINCIDE</v>
      </c>
    </row>
    <row r="213" spans="1:9" ht="15.75" customHeight="1">
      <c r="A213" s="5">
        <v>700015300</v>
      </c>
      <c r="B213" s="5">
        <v>7000301</v>
      </c>
      <c r="C213" s="5" t="s">
        <v>9</v>
      </c>
      <c r="D213" s="5">
        <v>5.22</v>
      </c>
      <c r="E213" s="5">
        <f t="shared" si="17"/>
        <v>2</v>
      </c>
      <c r="F213" s="5">
        <v>7</v>
      </c>
      <c r="G213" s="5">
        <f t="shared" si="18"/>
        <v>2</v>
      </c>
      <c r="H213" s="5">
        <v>2</v>
      </c>
      <c r="I213" s="5" t="str">
        <f>IF(AVERAGE(E213,G213)=H213,"COINCIDE",IF(G213=H213,"INCONGRUENTE","DISTINTO"))</f>
        <v>COINCIDE</v>
      </c>
    </row>
    <row r="214" spans="1:9" ht="15.75" customHeight="1">
      <c r="A214" s="5">
        <v>700052800</v>
      </c>
      <c r="B214" s="5">
        <v>7000302</v>
      </c>
      <c r="C214" s="5" t="s">
        <v>9</v>
      </c>
      <c r="D214" s="5">
        <v>4.21</v>
      </c>
      <c r="E214" s="5">
        <f t="shared" si="17"/>
        <v>2</v>
      </c>
      <c r="F214" s="5">
        <v>6</v>
      </c>
      <c r="G214" s="5">
        <f t="shared" si="18"/>
        <v>2</v>
      </c>
      <c r="H214" s="5">
        <v>2</v>
      </c>
      <c r="I214" s="5" t="str">
        <f>IF(AVERAGE(E214,G214)=H214,"COINCIDE",IF(G214=H214,"INCONGRUENTE","DISTINTO"))</f>
        <v>COINCIDE</v>
      </c>
    </row>
    <row r="215" spans="1:9" ht="15.75" customHeight="1">
      <c r="A215" s="5">
        <v>700050700</v>
      </c>
      <c r="B215" s="5">
        <v>7000303</v>
      </c>
      <c r="C215" s="5" t="s">
        <v>9</v>
      </c>
      <c r="D215" s="5">
        <v>4.5199999999999996</v>
      </c>
      <c r="E215" s="5">
        <f t="shared" si="17"/>
        <v>2</v>
      </c>
      <c r="F215" s="5">
        <v>6</v>
      </c>
      <c r="G215" s="42">
        <f t="shared" si="18"/>
        <v>2</v>
      </c>
      <c r="H215" s="5">
        <v>2</v>
      </c>
      <c r="I215" s="5" t="str">
        <f>IF(AVERAGE(E215,G215)=H215,"COINCIDE",IF(G215=H215,"INCONGRUENTE","DISTINTO"))</f>
        <v>COINCIDE</v>
      </c>
    </row>
    <row r="216" spans="1:9" ht="15.75" customHeight="1" thickBot="1">
      <c r="A216" s="11">
        <v>700052900</v>
      </c>
      <c r="B216" s="11">
        <v>7000304</v>
      </c>
      <c r="C216" s="11" t="s">
        <v>9</v>
      </c>
      <c r="D216" s="11">
        <v>3.38</v>
      </c>
      <c r="E216" s="37">
        <f t="shared" si="17"/>
        <v>1</v>
      </c>
      <c r="F216" s="11">
        <v>5</v>
      </c>
      <c r="G216" s="37">
        <f t="shared" si="18"/>
        <v>2</v>
      </c>
      <c r="H216" s="11">
        <v>2</v>
      </c>
      <c r="I216" s="35" t="str">
        <f>IF(AVERAGE(E216,G216)=H216,"COINCIDE",IF(G216=H216,"INCONGRUENTE","DISTINTO"))</f>
        <v>INCONGRUENTE</v>
      </c>
    </row>
    <row r="217" spans="1:9" ht="15.75" customHeight="1" thickTop="1" thickBot="1">
      <c r="A217" s="43">
        <v>700052400</v>
      </c>
      <c r="B217" s="43">
        <v>7000306</v>
      </c>
      <c r="C217" s="43" t="s">
        <v>9</v>
      </c>
      <c r="D217" s="43">
        <v>2.81</v>
      </c>
      <c r="E217" s="43">
        <f t="shared" si="17"/>
        <v>1</v>
      </c>
      <c r="F217" s="43">
        <v>4</v>
      </c>
      <c r="G217" s="43">
        <f t="shared" si="18"/>
        <v>1</v>
      </c>
      <c r="H217" s="43">
        <v>2</v>
      </c>
      <c r="I217" s="43" t="str">
        <f>IF(AVERAGE(E217,G217)=H217,"COINCIDE",IF(G217=H217,"INCONGRUENTE",IF(H217=7,"COINCIDE","DISTINTO")))</f>
        <v>DISTINTO</v>
      </c>
    </row>
    <row r="218" spans="1:9" ht="15.75" customHeight="1" thickTop="1">
      <c r="A218" s="9">
        <v>700028600</v>
      </c>
      <c r="B218" s="9">
        <v>7000309</v>
      </c>
      <c r="C218" s="9" t="s">
        <v>9</v>
      </c>
      <c r="D218" s="9">
        <v>8.75</v>
      </c>
      <c r="E218" s="32">
        <f t="shared" si="17"/>
        <v>2</v>
      </c>
      <c r="F218" s="9">
        <v>9</v>
      </c>
      <c r="G218" s="32">
        <f t="shared" si="18"/>
        <v>2</v>
      </c>
      <c r="H218" s="9">
        <v>3</v>
      </c>
      <c r="I218" s="9" t="str">
        <f>IF(AVERAGE(E218,G218)=H218,"COINCIDE",IF(G218=H218,"INCONGRUENTE",IF(H218=7,"COINCIDE","DISTINTO")))</f>
        <v>DISTINTO</v>
      </c>
    </row>
    <row r="219" spans="1:9" ht="15.75" customHeight="1">
      <c r="A219" s="11">
        <v>700053101</v>
      </c>
      <c r="B219" s="11">
        <v>7000311</v>
      </c>
      <c r="C219" s="11" t="s">
        <v>9</v>
      </c>
      <c r="D219" s="11">
        <v>8.93</v>
      </c>
      <c r="E219" s="37">
        <f t="shared" si="17"/>
        <v>2</v>
      </c>
      <c r="F219" s="11">
        <v>11</v>
      </c>
      <c r="G219" s="37">
        <f t="shared" si="18"/>
        <v>3</v>
      </c>
      <c r="H219" s="11">
        <v>3</v>
      </c>
      <c r="I219" s="35" t="str">
        <f>IF(AVERAGE(E219,G219)=H219,"COINCIDE",IF(G219=H219,"INCONGRUENTE","DISTINTO"))</f>
        <v>INCONGRUENTE</v>
      </c>
    </row>
    <row r="220" spans="1:9" ht="15.75" customHeight="1">
      <c r="A220" s="5">
        <v>700012300</v>
      </c>
      <c r="B220" s="5">
        <v>7000312</v>
      </c>
      <c r="C220" s="5" t="s">
        <v>9</v>
      </c>
      <c r="D220" s="5">
        <v>10.1</v>
      </c>
      <c r="E220" s="5">
        <f t="shared" si="17"/>
        <v>3</v>
      </c>
      <c r="F220" s="5">
        <v>11</v>
      </c>
      <c r="G220" s="5">
        <f t="shared" si="18"/>
        <v>3</v>
      </c>
      <c r="H220" s="5">
        <v>3</v>
      </c>
      <c r="I220" s="5" t="str">
        <f>IF(AVERAGE(E220,G220)=H220,"COINCIDE",IF(G220=H220,"INCONGRUENTE","DISTINTO"))</f>
        <v>COINCIDE</v>
      </c>
    </row>
    <row r="221" spans="1:9" ht="15.75" customHeight="1">
      <c r="A221" s="5">
        <v>700053000</v>
      </c>
      <c r="B221" s="5">
        <v>7000315</v>
      </c>
      <c r="C221" s="5" t="s">
        <v>9</v>
      </c>
      <c r="D221" s="5">
        <v>4.3600000000000003</v>
      </c>
      <c r="E221" s="5">
        <f t="shared" si="17"/>
        <v>2</v>
      </c>
      <c r="F221" s="5">
        <v>6</v>
      </c>
      <c r="G221" s="5">
        <f t="shared" si="18"/>
        <v>2</v>
      </c>
      <c r="H221" s="5">
        <v>2</v>
      </c>
      <c r="I221" s="5" t="str">
        <f>IF(AVERAGE(E221,G221)=H221,"COINCIDE",IF(G221=H221,"INCONGRUENTE","DISTINTO"))</f>
        <v>COINCIDE</v>
      </c>
    </row>
    <row r="222" spans="1:9" ht="15.75" customHeight="1">
      <c r="A222" s="5">
        <v>700001500</v>
      </c>
      <c r="B222" s="5">
        <v>7000317</v>
      </c>
      <c r="C222" s="5" t="s">
        <v>9</v>
      </c>
      <c r="D222" s="5">
        <v>7.18</v>
      </c>
      <c r="E222" s="5">
        <f t="shared" si="17"/>
        <v>2</v>
      </c>
      <c r="F222" s="5">
        <v>8</v>
      </c>
      <c r="G222" s="5">
        <f t="shared" si="18"/>
        <v>2</v>
      </c>
      <c r="H222" s="5">
        <v>2</v>
      </c>
      <c r="I222" s="5" t="str">
        <f>IF(AVERAGE(E222,G222)=H222,"COINCIDE",IF(G222=H222,"INCONGRUENTE","DISTINTO"))</f>
        <v>COINCIDE</v>
      </c>
    </row>
    <row r="223" spans="1:9" ht="15.75" customHeight="1">
      <c r="A223" s="5">
        <v>700017600</v>
      </c>
      <c r="B223" s="5">
        <v>7000319</v>
      </c>
      <c r="C223" s="5" t="s">
        <v>9</v>
      </c>
      <c r="D223" s="5">
        <v>11</v>
      </c>
      <c r="E223" s="5">
        <f t="shared" si="17"/>
        <v>3</v>
      </c>
      <c r="F223" s="5">
        <v>13</v>
      </c>
      <c r="G223" s="5">
        <f t="shared" si="18"/>
        <v>3</v>
      </c>
      <c r="H223" s="5">
        <v>3</v>
      </c>
      <c r="I223" s="5" t="str">
        <f>IF(AVERAGE(E223,G223)=H223,"COINCIDE",IF(G223=H223,"INCONGRUENTE","DISTINTO"))</f>
        <v>COINCIDE</v>
      </c>
    </row>
    <row r="224" spans="1:9" ht="15.75" customHeight="1">
      <c r="A224" s="9">
        <v>700043200</v>
      </c>
      <c r="B224" s="9">
        <v>7000322</v>
      </c>
      <c r="C224" s="9" t="s">
        <v>9</v>
      </c>
      <c r="D224" s="9">
        <v>16.7</v>
      </c>
      <c r="E224" s="9">
        <f t="shared" si="17"/>
        <v>3</v>
      </c>
      <c r="F224" s="9">
        <v>20</v>
      </c>
      <c r="G224" s="9">
        <f t="shared" si="18"/>
        <v>3</v>
      </c>
      <c r="H224" s="9">
        <v>4</v>
      </c>
      <c r="I224" s="9" t="str">
        <f>IF(AVERAGE(E224,G224)=H224,"COINCIDE",IF(G224=H224,"INCONGRUENTE",IF(H224=7,"COINCIDE","DISTINTO")))</f>
        <v>DISTINTO</v>
      </c>
    </row>
    <row r="225" spans="1:9" ht="15.75" customHeight="1">
      <c r="A225" s="9">
        <v>700043300</v>
      </c>
      <c r="B225" s="9">
        <v>7000323</v>
      </c>
      <c r="C225" s="9" t="s">
        <v>9</v>
      </c>
      <c r="D225" s="9">
        <v>11.1</v>
      </c>
      <c r="E225" s="9">
        <f t="shared" si="17"/>
        <v>3</v>
      </c>
      <c r="F225" s="9">
        <v>16</v>
      </c>
      <c r="G225" s="9">
        <f t="shared" si="18"/>
        <v>3</v>
      </c>
      <c r="H225" s="9">
        <v>4</v>
      </c>
      <c r="I225" s="9" t="str">
        <f>IF(AVERAGE(E225,G225)=H225,"COINCIDE",IF(G225=H225,"INCONGRUENTE",IF(H225=7,"COINCIDE","DISTINTO")))</f>
        <v>DISTINTO</v>
      </c>
    </row>
    <row r="226" spans="1:9" ht="15.75" customHeight="1">
      <c r="A226" s="9">
        <v>700042600</v>
      </c>
      <c r="B226" s="9">
        <v>7000324</v>
      </c>
      <c r="C226" s="9" t="s">
        <v>9</v>
      </c>
      <c r="D226" s="9">
        <v>12</v>
      </c>
      <c r="E226" s="9">
        <f t="shared" si="17"/>
        <v>3</v>
      </c>
      <c r="F226" s="9">
        <v>15</v>
      </c>
      <c r="G226" s="9">
        <f t="shared" si="18"/>
        <v>3</v>
      </c>
      <c r="H226" s="9">
        <v>4</v>
      </c>
      <c r="I226" s="9" t="str">
        <f>IF(AVERAGE(E226,G226)=H226,"COINCIDE",IF(G226=H226,"INCONGRUENTE",IF(H226=7,"COINCIDE","DISTINTO")))</f>
        <v>DISTINTO</v>
      </c>
    </row>
    <row r="227" spans="1:9" ht="15.75" customHeight="1">
      <c r="A227" s="9">
        <v>700043400</v>
      </c>
      <c r="B227" s="9">
        <v>7000325</v>
      </c>
      <c r="C227" s="9" t="s">
        <v>9</v>
      </c>
      <c r="D227" s="9">
        <v>11.9</v>
      </c>
      <c r="E227" s="9">
        <f t="shared" si="17"/>
        <v>3</v>
      </c>
      <c r="F227" s="9">
        <v>16</v>
      </c>
      <c r="G227" s="9">
        <f t="shared" si="18"/>
        <v>3</v>
      </c>
      <c r="H227" s="9">
        <v>4</v>
      </c>
      <c r="I227" s="9" t="str">
        <f>IF(AVERAGE(E227,G227)=H227,"COINCIDE",IF(G227=H227,"INCONGRUENTE",IF(H227=7,"COINCIDE","DISTINTO")))</f>
        <v>DISTINTO</v>
      </c>
    </row>
    <row r="228" spans="1:9" ht="15.75" customHeight="1">
      <c r="A228" s="5">
        <v>700042700</v>
      </c>
      <c r="B228" s="5">
        <v>7000326</v>
      </c>
      <c r="C228" s="5" t="s">
        <v>9</v>
      </c>
      <c r="D228" s="5">
        <v>21.6</v>
      </c>
      <c r="E228" s="5">
        <f t="shared" si="17"/>
        <v>4</v>
      </c>
      <c r="F228" s="5">
        <v>25</v>
      </c>
      <c r="G228" s="5">
        <f t="shared" si="18"/>
        <v>4</v>
      </c>
      <c r="H228" s="5">
        <v>4</v>
      </c>
      <c r="I228" s="5" t="str">
        <f>IF(AVERAGE(E228,G228)=H228,"COINCIDE",IF(G228=H228,"INCONGRUENTE","DISTINTO"))</f>
        <v>COINCIDE</v>
      </c>
    </row>
    <row r="229" spans="1:9" ht="15.75" customHeight="1">
      <c r="A229" s="11">
        <v>700010300</v>
      </c>
      <c r="B229" s="11">
        <v>7000327</v>
      </c>
      <c r="C229" s="11" t="s">
        <v>9</v>
      </c>
      <c r="D229" s="11">
        <v>17.399999999999999</v>
      </c>
      <c r="E229" s="35">
        <f t="shared" si="17"/>
        <v>3</v>
      </c>
      <c r="F229" s="11">
        <v>24</v>
      </c>
      <c r="G229" s="35">
        <f t="shared" si="18"/>
        <v>4</v>
      </c>
      <c r="H229" s="11">
        <v>4</v>
      </c>
      <c r="I229" s="35" t="str">
        <f>IF(AVERAGE(E229,G229)=H229,"COINCIDE",IF(G229=H229,"INCONGRUENTE","DISTINTO"))</f>
        <v>INCONGRUENTE</v>
      </c>
    </row>
    <row r="230" spans="1:9" ht="15.75" customHeight="1">
      <c r="A230" s="5">
        <v>700043500</v>
      </c>
      <c r="B230" s="5">
        <v>7000328</v>
      </c>
      <c r="C230" s="5" t="s">
        <v>9</v>
      </c>
      <c r="D230" s="5">
        <v>20.2</v>
      </c>
      <c r="E230" s="5">
        <f t="shared" si="17"/>
        <v>4</v>
      </c>
      <c r="F230" s="5">
        <v>26</v>
      </c>
      <c r="G230" s="5">
        <f t="shared" si="18"/>
        <v>4</v>
      </c>
      <c r="H230" s="5">
        <v>4</v>
      </c>
      <c r="I230" s="5" t="str">
        <f>IF(AVERAGE(E230,G230)=H230,"COINCIDE",IF(G230=H230,"INCONGRUENTE","DISTINTO"))</f>
        <v>COINCIDE</v>
      </c>
    </row>
    <row r="231" spans="1:9" ht="15.75" customHeight="1">
      <c r="A231" s="5">
        <v>700043600</v>
      </c>
      <c r="B231" s="5">
        <v>7000329</v>
      </c>
      <c r="C231" s="5" t="s">
        <v>9</v>
      </c>
      <c r="D231" s="5">
        <v>21.9</v>
      </c>
      <c r="E231" s="5">
        <f t="shared" si="17"/>
        <v>4</v>
      </c>
      <c r="F231" s="5">
        <v>27</v>
      </c>
      <c r="G231" s="5">
        <f t="shared" si="18"/>
        <v>4</v>
      </c>
      <c r="H231" s="5">
        <v>4</v>
      </c>
      <c r="I231" s="5" t="str">
        <f>IF(AVERAGE(E231,G231)=H231,"COINCIDE",IF(G231=H231,"INCONGRUENTE","DISTINTO"))</f>
        <v>COINCIDE</v>
      </c>
    </row>
    <row r="232" spans="1:9" ht="15.75" customHeight="1">
      <c r="A232" s="11">
        <v>700043700</v>
      </c>
      <c r="B232" s="11">
        <v>7000330</v>
      </c>
      <c r="C232" s="11" t="s">
        <v>9</v>
      </c>
      <c r="D232" s="39">
        <v>19.899999999999999</v>
      </c>
      <c r="E232" s="35">
        <f t="shared" si="17"/>
        <v>3</v>
      </c>
      <c r="F232" s="11">
        <v>25</v>
      </c>
      <c r="G232" s="35">
        <f t="shared" si="18"/>
        <v>4</v>
      </c>
      <c r="H232" s="11">
        <v>4</v>
      </c>
      <c r="I232" s="35" t="str">
        <f>IF(AVERAGE(E232,G232)=H232,"COINCIDE",IF(G232=H232,"INCONGRUENTE","DISTINTO"))</f>
        <v>INCONGRUENTE</v>
      </c>
    </row>
    <row r="233" spans="1:9" ht="15.75" customHeight="1">
      <c r="A233" s="9">
        <v>700043800</v>
      </c>
      <c r="B233" s="9">
        <v>7000331</v>
      </c>
      <c r="C233" s="9" t="s">
        <v>9</v>
      </c>
      <c r="D233" s="9">
        <v>15.6</v>
      </c>
      <c r="E233" s="9">
        <f t="shared" si="17"/>
        <v>3</v>
      </c>
      <c r="F233" s="9">
        <v>20</v>
      </c>
      <c r="G233" s="9">
        <f t="shared" si="18"/>
        <v>3</v>
      </c>
      <c r="H233" s="9">
        <v>4</v>
      </c>
      <c r="I233" s="9" t="str">
        <f>IF(AVERAGE(E233,G233)=H233,"COINCIDE",IF(G233=H233,"INCONGRUENTE",IF(H233=7,"COINCIDE","DISTINTO")))</f>
        <v>DISTINTO</v>
      </c>
    </row>
    <row r="234" spans="1:9" ht="15.75" customHeight="1">
      <c r="A234" s="38">
        <v>700043000</v>
      </c>
      <c r="B234" s="38">
        <v>7000332</v>
      </c>
      <c r="C234" s="38" t="s">
        <v>9</v>
      </c>
      <c r="D234" s="38">
        <v>18.899999999999999</v>
      </c>
      <c r="E234" s="37">
        <f t="shared" si="17"/>
        <v>3</v>
      </c>
      <c r="F234" s="38">
        <v>23</v>
      </c>
      <c r="G234" s="37">
        <f t="shared" si="18"/>
        <v>4</v>
      </c>
      <c r="H234" s="38">
        <v>4</v>
      </c>
      <c r="I234" s="37" t="str">
        <f>IF(AVERAGE(E234,G234)=H234,"COINCIDE",IF(G234=H234,"INCONGRUENTE","DISTINTO"))</f>
        <v>INCONGRUENTE</v>
      </c>
    </row>
    <row r="235" spans="1:9" ht="15.75" customHeight="1">
      <c r="A235" s="9">
        <v>700043100</v>
      </c>
      <c r="B235" s="9">
        <v>7000333</v>
      </c>
      <c r="C235" s="9" t="s">
        <v>9</v>
      </c>
      <c r="D235" s="9">
        <v>14.1</v>
      </c>
      <c r="E235" s="9">
        <f t="shared" si="17"/>
        <v>3</v>
      </c>
      <c r="F235" s="9">
        <v>17</v>
      </c>
      <c r="G235" s="9">
        <f t="shared" si="18"/>
        <v>3</v>
      </c>
      <c r="H235" s="9">
        <v>4</v>
      </c>
      <c r="I235" s="9" t="str">
        <f>IF(AVERAGE(E235,G235)=H235,"COINCIDE",IF(G235=H235,"INCONGRUENTE",IF(H235=7,"COINCIDE","DISTINTO")))</f>
        <v>DISTINTO</v>
      </c>
    </row>
    <row r="236" spans="1:9" ht="15.75" customHeight="1">
      <c r="A236" s="5">
        <v>700038600</v>
      </c>
      <c r="B236" s="5">
        <v>7000334</v>
      </c>
      <c r="C236" s="5" t="s">
        <v>9</v>
      </c>
      <c r="D236" s="5">
        <v>2.9</v>
      </c>
      <c r="E236" s="5">
        <f t="shared" si="17"/>
        <v>1</v>
      </c>
      <c r="F236" s="5">
        <v>3</v>
      </c>
      <c r="G236" s="5">
        <f t="shared" si="18"/>
        <v>1</v>
      </c>
      <c r="H236" s="5">
        <v>1</v>
      </c>
      <c r="I236" s="5" t="str">
        <f>IF(AVERAGE(E236,G236)=H236,"COINCIDE",IF(G236=H236,"INCONGRUENTE","DISTINTO"))</f>
        <v>COINCIDE</v>
      </c>
    </row>
    <row r="237" spans="1:9" ht="15.75" customHeight="1">
      <c r="A237" s="5">
        <v>700000800</v>
      </c>
      <c r="B237" s="5">
        <v>7000335</v>
      </c>
      <c r="C237" s="5" t="s">
        <v>9</v>
      </c>
      <c r="D237" s="5">
        <v>4.1900000000000004</v>
      </c>
      <c r="E237" s="5">
        <f t="shared" si="17"/>
        <v>2</v>
      </c>
      <c r="F237" s="5">
        <v>5</v>
      </c>
      <c r="G237" s="5">
        <f t="shared" si="18"/>
        <v>2</v>
      </c>
      <c r="H237" s="5">
        <v>2</v>
      </c>
      <c r="I237" s="5" t="str">
        <f>IF(AVERAGE(E237,G237)=H237,"COINCIDE",IF(G237=H237,"INCONGRUENTE","DISTINTO"))</f>
        <v>COINCIDE</v>
      </c>
    </row>
    <row r="238" spans="1:9" ht="15.75" customHeight="1">
      <c r="A238" s="11">
        <v>700000200</v>
      </c>
      <c r="B238" s="11">
        <v>7000336</v>
      </c>
      <c r="C238" s="11" t="s">
        <v>9</v>
      </c>
      <c r="D238" s="39">
        <v>3.35</v>
      </c>
      <c r="E238" s="35">
        <f t="shared" si="17"/>
        <v>1</v>
      </c>
      <c r="F238" s="11">
        <v>5</v>
      </c>
      <c r="G238" s="35">
        <f t="shared" si="18"/>
        <v>2</v>
      </c>
      <c r="H238" s="11">
        <v>2</v>
      </c>
      <c r="I238" s="35" t="str">
        <f>IF(AVERAGE(E238,G238)=H238,"COINCIDE",IF(G238=H238,"INCONGRUENTE","DISTINTO"))</f>
        <v>INCONGRUENTE</v>
      </c>
    </row>
    <row r="239" spans="1:9" ht="15.75" customHeight="1">
      <c r="A239" s="9">
        <v>700026200</v>
      </c>
      <c r="B239" s="9">
        <v>7000337</v>
      </c>
      <c r="C239" s="9" t="s">
        <v>9</v>
      </c>
      <c r="D239" s="9">
        <v>3.6</v>
      </c>
      <c r="E239" s="9">
        <f t="shared" si="17"/>
        <v>1</v>
      </c>
      <c r="F239" s="9">
        <v>4</v>
      </c>
      <c r="G239" s="9">
        <f t="shared" si="18"/>
        <v>1</v>
      </c>
      <c r="H239" s="9">
        <v>2</v>
      </c>
      <c r="I239" s="9" t="str">
        <f>IF(AVERAGE(E239,G239)=H239,"COINCIDE",IF(G239=H239,"INCONGRUENTE",IF(H239=7,"COINCIDE","DISTINTO")))</f>
        <v>DISTINTO</v>
      </c>
    </row>
    <row r="240" spans="1:9" ht="15.75" customHeight="1">
      <c r="A240" s="44">
        <v>700034900</v>
      </c>
      <c r="B240" s="44">
        <v>7000338</v>
      </c>
      <c r="C240" s="44" t="s">
        <v>9</v>
      </c>
      <c r="D240" s="44">
        <v>4.28</v>
      </c>
      <c r="E240" s="44">
        <f t="shared" si="17"/>
        <v>2</v>
      </c>
      <c r="F240" s="44">
        <v>5</v>
      </c>
      <c r="G240" s="44">
        <f t="shared" si="18"/>
        <v>2</v>
      </c>
      <c r="H240" s="45">
        <v>3</v>
      </c>
      <c r="I240" s="44" t="str">
        <f>IF(AVERAGE(E240,G240)=H240,"COINCIDE",IF(G240=H240,"INCONGRUENTE","DISTINTO"))</f>
        <v>DISTINTO</v>
      </c>
    </row>
    <row r="241" spans="1:9" ht="15.75" customHeight="1">
      <c r="A241" s="5">
        <v>700000700</v>
      </c>
      <c r="B241" s="5">
        <v>7000340</v>
      </c>
      <c r="C241" s="5" t="s">
        <v>9</v>
      </c>
      <c r="D241" s="5">
        <v>10.5</v>
      </c>
      <c r="E241" s="5">
        <f t="shared" si="17"/>
        <v>3</v>
      </c>
      <c r="F241" s="5">
        <v>14</v>
      </c>
      <c r="G241" s="5">
        <f t="shared" si="18"/>
        <v>3</v>
      </c>
      <c r="H241" s="5">
        <v>3</v>
      </c>
      <c r="I241" s="5" t="str">
        <f>IF(AVERAGE(E241,G241)=H241,"COINCIDE",IF(G241=H241,"INCONGRUENTE","DISTINTO"))</f>
        <v>COINCIDE</v>
      </c>
    </row>
    <row r="242" spans="1:9" ht="15.75" customHeight="1">
      <c r="A242" s="9">
        <v>700038700</v>
      </c>
      <c r="B242" s="9">
        <v>7000341</v>
      </c>
      <c r="C242" s="9" t="s">
        <v>9</v>
      </c>
      <c r="D242" s="9">
        <v>8.75</v>
      </c>
      <c r="E242" s="9">
        <f t="shared" si="17"/>
        <v>2</v>
      </c>
      <c r="F242" s="18">
        <v>10</v>
      </c>
      <c r="G242" s="9">
        <f t="shared" si="18"/>
        <v>2</v>
      </c>
      <c r="H242" s="9">
        <v>3</v>
      </c>
      <c r="I242" s="9" t="str">
        <f>IF(AVERAGE(E242,G242)=H242,"COINCIDE",IF(G242=H242,"INCONGRUENTE",IF(H242=7,"COINCIDE","DISTINTO")))</f>
        <v>DISTINTO</v>
      </c>
    </row>
    <row r="243" spans="1:9" ht="15.75" customHeight="1">
      <c r="A243" s="9">
        <v>700026100</v>
      </c>
      <c r="B243" s="9">
        <v>7000342</v>
      </c>
      <c r="C243" s="9" t="s">
        <v>9</v>
      </c>
      <c r="D243" s="9">
        <v>7.57</v>
      </c>
      <c r="E243" s="9">
        <f t="shared" si="17"/>
        <v>2</v>
      </c>
      <c r="F243" s="9">
        <v>8</v>
      </c>
      <c r="G243" s="9">
        <f t="shared" si="18"/>
        <v>2</v>
      </c>
      <c r="H243" s="9">
        <v>3</v>
      </c>
      <c r="I243" s="9" t="str">
        <f>IF(AVERAGE(E243,G243)=H243,"COINCIDE",IF(G243=H243,"INCONGRUENTE",IF(H243=7,"COINCIDE","DISTINTO")))</f>
        <v>DISTINTO</v>
      </c>
    </row>
    <row r="244" spans="1:9" ht="15.75" customHeight="1">
      <c r="A244" s="11">
        <v>700025500</v>
      </c>
      <c r="B244" s="11">
        <v>7000343</v>
      </c>
      <c r="C244" s="11" t="s">
        <v>9</v>
      </c>
      <c r="D244" s="39">
        <v>3.55</v>
      </c>
      <c r="E244" s="35">
        <f t="shared" si="17"/>
        <v>1</v>
      </c>
      <c r="F244" s="11">
        <v>5</v>
      </c>
      <c r="G244" s="35">
        <f t="shared" si="18"/>
        <v>2</v>
      </c>
      <c r="H244" s="11">
        <v>2</v>
      </c>
      <c r="I244" s="35" t="str">
        <f>IF(AVERAGE(E244,G244)=H244,"COINCIDE",IF(G244=H244,"INCONGRUENTE","DISTINTO"))</f>
        <v>INCONGRUENTE</v>
      </c>
    </row>
    <row r="245" spans="1:9" ht="15.75" customHeight="1">
      <c r="A245" s="5">
        <v>700025600</v>
      </c>
      <c r="B245" s="5">
        <v>7000344</v>
      </c>
      <c r="C245" s="5" t="s">
        <v>9</v>
      </c>
      <c r="D245" s="5">
        <v>2.1</v>
      </c>
      <c r="E245" s="5">
        <f t="shared" si="17"/>
        <v>1</v>
      </c>
      <c r="F245" s="5">
        <v>3</v>
      </c>
      <c r="G245" s="5">
        <f t="shared" si="18"/>
        <v>1</v>
      </c>
      <c r="H245" s="5">
        <v>1</v>
      </c>
      <c r="I245" s="5" t="str">
        <f>IF(AVERAGE(E245,G245)=H245,"COINCIDE",IF(G245=H245,"INCONGRUENTE","DISTINTO"))</f>
        <v>COINCIDE</v>
      </c>
    </row>
    <row r="246" spans="1:9" ht="15.75" customHeight="1">
      <c r="A246" s="5">
        <v>700041300</v>
      </c>
      <c r="B246" s="5">
        <v>7000345</v>
      </c>
      <c r="C246" s="5" t="s">
        <v>9</v>
      </c>
      <c r="D246" s="5">
        <v>5.5</v>
      </c>
      <c r="E246" s="5">
        <f t="shared" si="17"/>
        <v>2</v>
      </c>
      <c r="F246" s="5">
        <v>6</v>
      </c>
      <c r="G246" s="5">
        <f t="shared" si="18"/>
        <v>2</v>
      </c>
      <c r="H246" s="5">
        <v>2</v>
      </c>
      <c r="I246" s="5" t="str">
        <f>IF(AVERAGE(E246,G246)=H246,"COINCIDE",IF(G246=H246,"INCONGRUENTE","DISTINTO"))</f>
        <v>COINCIDE</v>
      </c>
    </row>
    <row r="247" spans="1:9" ht="15.75" customHeight="1">
      <c r="A247" s="9">
        <v>700000400</v>
      </c>
      <c r="B247" s="9">
        <v>7000347</v>
      </c>
      <c r="C247" s="9" t="s">
        <v>9</v>
      </c>
      <c r="D247" s="9">
        <v>5.2</v>
      </c>
      <c r="E247" s="9">
        <f t="shared" si="17"/>
        <v>2</v>
      </c>
      <c r="F247" s="9">
        <v>8</v>
      </c>
      <c r="G247" s="9">
        <f t="shared" si="18"/>
        <v>2</v>
      </c>
      <c r="H247" s="9">
        <v>3</v>
      </c>
      <c r="I247" s="9" t="str">
        <f>IF(AVERAGE(E247,G247)=H247,"COINCIDE",IF(G247=H247,"INCONGRUENTE",IF(H247=7,"COINCIDE","DISTINTO")))</f>
        <v>DISTINTO</v>
      </c>
    </row>
    <row r="248" spans="1:9" ht="15.75" customHeight="1">
      <c r="A248" s="5">
        <v>700008500</v>
      </c>
      <c r="B248" s="5">
        <v>7000349</v>
      </c>
      <c r="C248" s="5" t="s">
        <v>9</v>
      </c>
      <c r="D248" s="5">
        <v>49.9</v>
      </c>
      <c r="E248" s="5">
        <f t="shared" si="17"/>
        <v>5</v>
      </c>
      <c r="F248" s="5">
        <v>64</v>
      </c>
      <c r="G248" s="5">
        <f t="shared" si="18"/>
        <v>5</v>
      </c>
      <c r="H248" s="5">
        <v>5</v>
      </c>
      <c r="I248" s="5" t="str">
        <f>IF(AVERAGE(E248,G248)=H248,"COINCIDE",IF(G248=H248,"INCONGRUENTE","DISTINTO"))</f>
        <v>COINCIDE</v>
      </c>
    </row>
    <row r="249" spans="1:9" ht="15.75" customHeight="1">
      <c r="A249" s="11">
        <v>700008400</v>
      </c>
      <c r="B249" s="11">
        <v>7000350</v>
      </c>
      <c r="C249" s="11" t="s">
        <v>9</v>
      </c>
      <c r="D249" s="11">
        <v>62.2</v>
      </c>
      <c r="E249" s="35">
        <f t="shared" si="17"/>
        <v>5</v>
      </c>
      <c r="F249" s="11">
        <v>94</v>
      </c>
      <c r="G249" s="35">
        <f t="shared" si="18"/>
        <v>6</v>
      </c>
      <c r="H249" s="11">
        <v>6</v>
      </c>
      <c r="I249" s="35" t="str">
        <f>IF(AVERAGE(E249,G249)=H249,"COINCIDE",IF(G249=H249,"INCONGRUENTE","DISTINTO"))</f>
        <v>INCONGRUENTE</v>
      </c>
    </row>
    <row r="250" spans="1:9" ht="15.75" customHeight="1">
      <c r="A250" s="5">
        <v>700013700</v>
      </c>
      <c r="B250" s="5">
        <v>7000351</v>
      </c>
      <c r="C250" s="5" t="s">
        <v>9</v>
      </c>
      <c r="D250" s="5">
        <v>49.8</v>
      </c>
      <c r="E250" s="5">
        <f t="shared" si="17"/>
        <v>5</v>
      </c>
      <c r="F250" s="5">
        <v>62</v>
      </c>
      <c r="G250" s="5">
        <f t="shared" si="18"/>
        <v>5</v>
      </c>
      <c r="H250" s="5">
        <v>5</v>
      </c>
      <c r="I250" s="5" t="str">
        <f>IF(AVERAGE(E250,G250)=H250,"COINCIDE",IF(G250=H250,"INCONGRUENTE","DISTINTO"))</f>
        <v>COINCIDE</v>
      </c>
    </row>
    <row r="251" spans="1:9" ht="15.75" customHeight="1">
      <c r="A251" s="5">
        <v>700013800</v>
      </c>
      <c r="B251" s="5">
        <v>7000352</v>
      </c>
      <c r="C251" s="5" t="s">
        <v>9</v>
      </c>
      <c r="D251" s="5">
        <v>51.6</v>
      </c>
      <c r="E251" s="5">
        <f t="shared" si="17"/>
        <v>5</v>
      </c>
      <c r="F251" s="5">
        <v>66</v>
      </c>
      <c r="G251" s="5">
        <f t="shared" si="18"/>
        <v>5</v>
      </c>
      <c r="H251" s="5">
        <v>5</v>
      </c>
      <c r="I251" s="5" t="str">
        <f>IF(AVERAGE(E251,G251)=H251,"COINCIDE",IF(G251=H251,"INCONGRUENTE","DISTINTO"))</f>
        <v>COINCIDE</v>
      </c>
    </row>
    <row r="252" spans="1:9" ht="15.75" customHeight="1">
      <c r="A252" s="11">
        <v>700048100</v>
      </c>
      <c r="B252" s="11">
        <v>7000353</v>
      </c>
      <c r="C252" s="11" t="s">
        <v>9</v>
      </c>
      <c r="D252" s="39">
        <v>39.799999999999997</v>
      </c>
      <c r="E252" s="35">
        <f t="shared" si="17"/>
        <v>4</v>
      </c>
      <c r="F252" s="11">
        <v>51</v>
      </c>
      <c r="G252" s="35">
        <f t="shared" si="18"/>
        <v>5</v>
      </c>
      <c r="H252" s="11">
        <v>5</v>
      </c>
      <c r="I252" s="35" t="str">
        <f>IF(AVERAGE(E252,G252)=H252,"COINCIDE",IF(G252=H252,"INCONGRUENTE","DISTINTO"))</f>
        <v>INCONGRUENTE</v>
      </c>
    </row>
    <row r="253" spans="1:9" ht="15.75" customHeight="1">
      <c r="A253" s="5">
        <v>700048300</v>
      </c>
      <c r="B253" s="5">
        <v>7000355</v>
      </c>
      <c r="C253" s="5" t="s">
        <v>9</v>
      </c>
      <c r="D253" s="5">
        <v>44.8</v>
      </c>
      <c r="E253" s="5">
        <f t="shared" si="17"/>
        <v>5</v>
      </c>
      <c r="F253" s="5">
        <v>57</v>
      </c>
      <c r="G253" s="5">
        <f t="shared" si="18"/>
        <v>5</v>
      </c>
      <c r="H253" s="5">
        <v>5</v>
      </c>
      <c r="I253" s="5" t="str">
        <f>IF(AVERAGE(E253,G253)=H253,"COINCIDE",IF(G253=H253,"INCONGRUENTE","DISTINTO"))</f>
        <v>COINCIDE</v>
      </c>
    </row>
    <row r="254" spans="1:9" ht="15.75" customHeight="1">
      <c r="A254" s="5">
        <v>700013000</v>
      </c>
      <c r="B254" s="5">
        <v>7000356</v>
      </c>
      <c r="C254" s="5" t="s">
        <v>9</v>
      </c>
      <c r="D254" s="5">
        <v>43.9</v>
      </c>
      <c r="E254" s="5">
        <f t="shared" si="17"/>
        <v>5</v>
      </c>
      <c r="F254" s="5">
        <v>54</v>
      </c>
      <c r="G254" s="5">
        <f t="shared" si="18"/>
        <v>5</v>
      </c>
      <c r="H254" s="5">
        <v>5</v>
      </c>
      <c r="I254" s="5" t="str">
        <f>IF(AVERAGE(E254,G254)=H254,"COINCIDE",IF(G254=H254,"INCONGRUENTE","DISTINTO"))</f>
        <v>COINCIDE</v>
      </c>
    </row>
    <row r="255" spans="1:9" ht="15.75" customHeight="1">
      <c r="A255" s="5">
        <v>700013900</v>
      </c>
      <c r="B255" s="5">
        <v>7000357</v>
      </c>
      <c r="C255" s="5" t="s">
        <v>9</v>
      </c>
      <c r="D255" s="5">
        <v>55.3</v>
      </c>
      <c r="E255" s="5">
        <f t="shared" si="17"/>
        <v>5</v>
      </c>
      <c r="F255" s="5">
        <v>63</v>
      </c>
      <c r="G255" s="5">
        <f t="shared" si="18"/>
        <v>5</v>
      </c>
      <c r="H255" s="5">
        <v>5</v>
      </c>
      <c r="I255" s="5" t="str">
        <f>IF(AVERAGE(E255,G255)=H255,"COINCIDE",IF(G255=H255,"INCONGRUENTE","DISTINTO"))</f>
        <v>COINCIDE</v>
      </c>
    </row>
    <row r="256" spans="1:9" ht="15.75" customHeight="1">
      <c r="A256" s="5">
        <v>700048400</v>
      </c>
      <c r="B256" s="5">
        <v>7000358</v>
      </c>
      <c r="C256" s="5" t="s">
        <v>9</v>
      </c>
      <c r="D256" s="5">
        <v>46.1</v>
      </c>
      <c r="E256" s="5">
        <f t="shared" si="17"/>
        <v>5</v>
      </c>
      <c r="F256" s="5">
        <v>49</v>
      </c>
      <c r="G256" s="5">
        <f t="shared" si="18"/>
        <v>5</v>
      </c>
      <c r="H256" s="5">
        <v>5</v>
      </c>
      <c r="I256" s="5" t="str">
        <f>IF(AVERAGE(E256,G256)=H256,"COINCIDE",IF(G256=H256,"INCONGRUENTE","DISTINTO"))</f>
        <v>COINCIDE</v>
      </c>
    </row>
    <row r="257" spans="1:9" ht="15.75" customHeight="1">
      <c r="A257" s="5">
        <v>700048500</v>
      </c>
      <c r="B257" s="5">
        <v>7000359</v>
      </c>
      <c r="C257" s="5" t="s">
        <v>9</v>
      </c>
      <c r="D257" s="5">
        <v>41.3</v>
      </c>
      <c r="E257" s="5">
        <f t="shared" si="17"/>
        <v>5</v>
      </c>
      <c r="F257" s="5">
        <v>47</v>
      </c>
      <c r="G257" s="5">
        <f t="shared" si="18"/>
        <v>5</v>
      </c>
      <c r="H257" s="5">
        <v>5</v>
      </c>
      <c r="I257" s="5" t="str">
        <f>IF(AVERAGE(E257,G257)=H257,"COINCIDE",IF(G257=H257,"INCONGRUENTE","DISTINTO"))</f>
        <v>COINCIDE</v>
      </c>
    </row>
    <row r="258" spans="1:9" ht="15.75" customHeight="1">
      <c r="A258" s="11">
        <v>700039100</v>
      </c>
      <c r="B258" s="11">
        <v>7000361</v>
      </c>
      <c r="C258" s="11" t="s">
        <v>9</v>
      </c>
      <c r="D258" s="11">
        <v>53.9</v>
      </c>
      <c r="E258" s="35">
        <f t="shared" si="17"/>
        <v>5</v>
      </c>
      <c r="F258" s="11">
        <v>83</v>
      </c>
      <c r="G258" s="35">
        <f t="shared" si="18"/>
        <v>6</v>
      </c>
      <c r="H258" s="11">
        <v>6</v>
      </c>
      <c r="I258" s="35" t="str">
        <f>IF(AVERAGE(E258,G258)=H258,"COINCIDE",IF(G258=H258,"INCONGRUENTE","DISTINTO"))</f>
        <v>INCONGRUENTE</v>
      </c>
    </row>
    <row r="259" spans="1:9" ht="15.75" customHeight="1">
      <c r="A259" s="9">
        <v>700008300</v>
      </c>
      <c r="B259" s="9">
        <v>7000362</v>
      </c>
      <c r="C259" s="9" t="s">
        <v>9</v>
      </c>
      <c r="D259" s="9">
        <v>58.8</v>
      </c>
      <c r="E259" s="9">
        <f t="shared" si="17"/>
        <v>5</v>
      </c>
      <c r="F259" s="9">
        <v>77</v>
      </c>
      <c r="G259" s="9">
        <f t="shared" si="18"/>
        <v>5</v>
      </c>
      <c r="H259" s="9">
        <v>7</v>
      </c>
      <c r="I259" s="9" t="s">
        <v>14</v>
      </c>
    </row>
    <row r="260" spans="1:9" ht="15" customHeight="1">
      <c r="A260" s="5">
        <v>700014000</v>
      </c>
      <c r="B260" s="5">
        <v>7000363</v>
      </c>
      <c r="C260" s="5" t="s">
        <v>9</v>
      </c>
      <c r="D260" s="5">
        <v>58.8</v>
      </c>
      <c r="E260" s="5">
        <f t="shared" si="17"/>
        <v>5</v>
      </c>
      <c r="F260" s="5">
        <v>67</v>
      </c>
      <c r="G260" s="5">
        <f t="shared" si="18"/>
        <v>5</v>
      </c>
      <c r="H260" s="5">
        <v>5</v>
      </c>
      <c r="I260" s="5" t="str">
        <f>IF(AVERAGE(E260,G260)=H260,"COINCIDE",IF(G260=H260,"INCONGRUENTE","DISTINTO"))</f>
        <v>COINCIDE</v>
      </c>
    </row>
    <row r="261" spans="1:9" ht="15.75" customHeight="1">
      <c r="A261" s="9">
        <v>700014100</v>
      </c>
      <c r="B261" s="9">
        <v>7000364</v>
      </c>
      <c r="C261" s="9" t="s">
        <v>9</v>
      </c>
      <c r="D261" s="9">
        <v>64.7</v>
      </c>
      <c r="E261" s="9">
        <f t="shared" si="17"/>
        <v>5</v>
      </c>
      <c r="F261" s="9">
        <v>72</v>
      </c>
      <c r="G261" s="9">
        <f t="shared" si="18"/>
        <v>5</v>
      </c>
      <c r="H261" s="9">
        <v>6</v>
      </c>
      <c r="I261" s="9" t="str">
        <f>IF(AVERAGE(E261,G261)=H261,"COINCIDE",IF(G261=H261,"INCONGRUENTE",IF(H261=7,"COINCIDE","DISTINTO")))</f>
        <v>DISTINTO</v>
      </c>
    </row>
    <row r="262" spans="1:9" ht="15.75" customHeight="1">
      <c r="A262" s="12">
        <v>700011600</v>
      </c>
      <c r="B262" s="5">
        <v>7000365</v>
      </c>
      <c r="C262" s="5" t="s">
        <v>9</v>
      </c>
      <c r="D262" s="5">
        <v>4.5199999999999996</v>
      </c>
      <c r="E262" s="5">
        <f t="shared" si="17"/>
        <v>2</v>
      </c>
      <c r="F262" s="5">
        <v>6</v>
      </c>
      <c r="G262" s="5">
        <f t="shared" si="18"/>
        <v>2</v>
      </c>
      <c r="H262" s="5">
        <v>2</v>
      </c>
      <c r="I262" s="5" t="str">
        <f>IF(AVERAGE(E262,G262)=H262,"COINCIDE",IF(G262=H262,"INCONGRUENTE","DISTINTO"))</f>
        <v>COINCIDE</v>
      </c>
    </row>
    <row r="263" spans="1:9" ht="15.75" customHeight="1">
      <c r="A263" s="9">
        <v>700039000</v>
      </c>
      <c r="B263" s="9">
        <v>7000366</v>
      </c>
      <c r="C263" s="9" t="s">
        <v>9</v>
      </c>
      <c r="D263" s="9">
        <v>47.6</v>
      </c>
      <c r="E263" s="9">
        <f t="shared" si="17"/>
        <v>5</v>
      </c>
      <c r="F263" s="9">
        <v>75</v>
      </c>
      <c r="G263" s="9">
        <f t="shared" si="18"/>
        <v>5</v>
      </c>
      <c r="H263" s="9">
        <v>6</v>
      </c>
      <c r="I263" s="9" t="str">
        <f>IF(AVERAGE(E263,G263)=H263,"COINCIDE",IF(G263=H263,"INCONGRUENTE",IF(H263=7,"COINCIDE","DISTINTO")))</f>
        <v>DISTINTO</v>
      </c>
    </row>
    <row r="264" spans="1:9" ht="15.75" customHeight="1">
      <c r="A264" s="5">
        <v>700013100</v>
      </c>
      <c r="B264" s="5">
        <v>7000368</v>
      </c>
      <c r="C264" s="5" t="s">
        <v>9</v>
      </c>
      <c r="D264" s="5">
        <v>50.7</v>
      </c>
      <c r="E264" s="5">
        <f t="shared" si="17"/>
        <v>5</v>
      </c>
      <c r="F264" s="5">
        <v>56</v>
      </c>
      <c r="G264" s="5">
        <f t="shared" si="18"/>
        <v>5</v>
      </c>
      <c r="H264" s="5">
        <v>5</v>
      </c>
      <c r="I264" s="5" t="str">
        <f>IF(AVERAGE(E264,G264)=H264,"COINCIDE",IF(G264=H264,"INCONGRUENTE","DISTINTO"))</f>
        <v>COINCIDE</v>
      </c>
    </row>
    <row r="265" spans="1:9" ht="15.75" customHeight="1">
      <c r="A265" s="5">
        <v>700013200</v>
      </c>
      <c r="B265" s="5">
        <v>7000369</v>
      </c>
      <c r="C265" s="5" t="s">
        <v>9</v>
      </c>
      <c r="D265" s="5">
        <v>51</v>
      </c>
      <c r="E265" s="5">
        <f t="shared" si="17"/>
        <v>5</v>
      </c>
      <c r="F265" s="5">
        <v>55</v>
      </c>
      <c r="G265" s="5">
        <f t="shared" si="18"/>
        <v>5</v>
      </c>
      <c r="H265" s="5">
        <v>5</v>
      </c>
      <c r="I265" s="5" t="str">
        <f>IF(AVERAGE(E265,G265)=H265,"COINCIDE",IF(G265=H265,"INCONGRUENTE","DISTINTO"))</f>
        <v>COINCIDE</v>
      </c>
    </row>
    <row r="266" spans="1:9" ht="15.75" customHeight="1">
      <c r="A266" s="5">
        <v>700014300</v>
      </c>
      <c r="B266" s="5">
        <v>7000370</v>
      </c>
      <c r="C266" s="5" t="s">
        <v>9</v>
      </c>
      <c r="D266" s="5">
        <v>54.4</v>
      </c>
      <c r="E266" s="5">
        <f t="shared" si="17"/>
        <v>5</v>
      </c>
      <c r="F266" s="5">
        <v>60</v>
      </c>
      <c r="G266" s="5">
        <f t="shared" si="18"/>
        <v>5</v>
      </c>
      <c r="H266" s="5">
        <v>5</v>
      </c>
      <c r="I266" s="5" t="str">
        <f>IF(AVERAGE(E266,G266)=H266,"COINCIDE",IF(G266=H266,"INCONGRUENTE","DISTINTO"))</f>
        <v>COINCIDE</v>
      </c>
    </row>
    <row r="267" spans="1:9" ht="15.75" customHeight="1">
      <c r="A267" s="5">
        <v>700048600</v>
      </c>
      <c r="B267" s="5">
        <v>7000371</v>
      </c>
      <c r="C267" s="5" t="s">
        <v>9</v>
      </c>
      <c r="D267" s="5">
        <v>49.8</v>
      </c>
      <c r="E267" s="5">
        <f t="shared" si="17"/>
        <v>5</v>
      </c>
      <c r="F267" s="5">
        <v>55</v>
      </c>
      <c r="G267" s="5">
        <f t="shared" si="18"/>
        <v>5</v>
      </c>
      <c r="H267" s="5">
        <v>5</v>
      </c>
      <c r="I267" s="5" t="str">
        <f>IF(AVERAGE(E267,G267)=H267,"COINCIDE",IF(G267=H267,"INCONGRUENTE","DISTINTO"))</f>
        <v>COINCIDE</v>
      </c>
    </row>
    <row r="268" spans="1:9" ht="15.75" customHeight="1">
      <c r="A268" s="5">
        <v>700048800</v>
      </c>
      <c r="B268" s="5">
        <v>7000372</v>
      </c>
      <c r="C268" s="5" t="s">
        <v>9</v>
      </c>
      <c r="D268" s="5">
        <v>51</v>
      </c>
      <c r="E268" s="5">
        <f t="shared" si="17"/>
        <v>5</v>
      </c>
      <c r="F268" s="5">
        <v>55</v>
      </c>
      <c r="G268" s="5">
        <f t="shared" si="18"/>
        <v>5</v>
      </c>
      <c r="H268" s="5">
        <v>5</v>
      </c>
      <c r="I268" s="5" t="str">
        <f>IF(AVERAGE(E268,G268)=H268,"COINCIDE",IF(G268=H268,"INCONGRUENTE","DISTINTO"))</f>
        <v>COINCIDE</v>
      </c>
    </row>
    <row r="269" spans="1:9" ht="15.75" customHeight="1">
      <c r="A269" s="5">
        <v>700075900</v>
      </c>
      <c r="B269" s="5">
        <v>7000373</v>
      </c>
      <c r="C269" s="5" t="s">
        <v>9</v>
      </c>
      <c r="D269" s="5">
        <v>51.3</v>
      </c>
      <c r="E269" s="5">
        <f t="shared" si="17"/>
        <v>5</v>
      </c>
      <c r="F269" s="5">
        <v>57</v>
      </c>
      <c r="G269" s="5">
        <f t="shared" si="18"/>
        <v>5</v>
      </c>
      <c r="H269" s="5">
        <v>5</v>
      </c>
      <c r="I269" s="5" t="str">
        <f>IF(AVERAGE(E269,G269)=H269,"COINCIDE",IF(G269=H269,"INCONGRUENTE","DISTINTO"))</f>
        <v>COINCIDE</v>
      </c>
    </row>
    <row r="270" spans="1:9" ht="15.75" customHeight="1">
      <c r="A270" s="9">
        <v>700008200</v>
      </c>
      <c r="B270" s="9">
        <v>7000374</v>
      </c>
      <c r="C270" s="9" t="s">
        <v>9</v>
      </c>
      <c r="D270" s="9">
        <v>62.4</v>
      </c>
      <c r="E270" s="9">
        <f t="shared" si="17"/>
        <v>5</v>
      </c>
      <c r="F270" s="9">
        <v>81</v>
      </c>
      <c r="G270" s="9">
        <f t="shared" si="18"/>
        <v>6</v>
      </c>
      <c r="H270" s="9">
        <v>7</v>
      </c>
      <c r="I270" s="9" t="s">
        <v>14</v>
      </c>
    </row>
    <row r="271" spans="1:9" ht="15.75" customHeight="1">
      <c r="A271" s="5">
        <v>700014400</v>
      </c>
      <c r="B271" s="5">
        <v>7000375</v>
      </c>
      <c r="C271" s="5" t="s">
        <v>9</v>
      </c>
      <c r="D271" s="5">
        <v>63.5</v>
      </c>
      <c r="E271" s="5">
        <f t="shared" si="17"/>
        <v>5</v>
      </c>
      <c r="F271" s="5">
        <v>67</v>
      </c>
      <c r="G271" s="5">
        <f t="shared" si="18"/>
        <v>5</v>
      </c>
      <c r="H271" s="5">
        <v>5</v>
      </c>
      <c r="I271" s="5" t="str">
        <f>IF(AVERAGE(E271,G271)=H271,"COINCIDE",IF(G271=H271,"INCONGRUENTE","DISTINTO"))</f>
        <v>COINCIDE</v>
      </c>
    </row>
    <row r="272" spans="1:9" ht="15.75" customHeight="1">
      <c r="A272" s="5">
        <v>700014500</v>
      </c>
      <c r="B272" s="5">
        <v>7000376</v>
      </c>
      <c r="C272" s="5" t="s">
        <v>9</v>
      </c>
      <c r="D272" s="5">
        <v>58.7</v>
      </c>
      <c r="E272" s="5">
        <f t="shared" si="17"/>
        <v>5</v>
      </c>
      <c r="F272" s="5">
        <v>64</v>
      </c>
      <c r="G272" s="5">
        <f t="shared" si="18"/>
        <v>5</v>
      </c>
      <c r="H272" s="5">
        <v>5</v>
      </c>
      <c r="I272" s="5" t="str">
        <f>IF(AVERAGE(E272,G272)=H272,"COINCIDE",IF(G272=H272,"INCONGRUENTE","DISTINTO"))</f>
        <v>COINCIDE</v>
      </c>
    </row>
    <row r="273" spans="1:9" ht="15.75" customHeight="1">
      <c r="A273" s="5">
        <v>700029200</v>
      </c>
      <c r="B273" s="5">
        <v>7000378</v>
      </c>
      <c r="C273" s="5" t="s">
        <v>9</v>
      </c>
      <c r="D273" s="5">
        <v>21.8</v>
      </c>
      <c r="E273" s="5">
        <f t="shared" si="17"/>
        <v>4</v>
      </c>
      <c r="F273" s="5">
        <v>33</v>
      </c>
      <c r="G273" s="5">
        <f t="shared" si="18"/>
        <v>4</v>
      </c>
      <c r="H273" s="5">
        <v>4</v>
      </c>
      <c r="I273" s="5" t="str">
        <f>IF(AVERAGE(E273,G273)=H273,"COINCIDE",IF(G273=H273,"INCONGRUENTE","DISTINTO"))</f>
        <v>COINCIDE</v>
      </c>
    </row>
    <row r="274" spans="1:9" ht="15.75" customHeight="1">
      <c r="A274" s="5">
        <v>700028900</v>
      </c>
      <c r="B274" s="5">
        <v>7000379</v>
      </c>
      <c r="C274" s="5" t="s">
        <v>9</v>
      </c>
      <c r="D274" s="5">
        <v>21.6</v>
      </c>
      <c r="E274" s="5">
        <f t="shared" si="17"/>
        <v>4</v>
      </c>
      <c r="F274" s="5">
        <v>33</v>
      </c>
      <c r="G274" s="5">
        <f t="shared" si="18"/>
        <v>4</v>
      </c>
      <c r="H274" s="5">
        <v>4</v>
      </c>
      <c r="I274" s="5" t="str">
        <f>IF(AVERAGE(E274,G274)=H274,"COINCIDE",IF(G274=H274,"INCONGRUENTE","DISTINTO"))</f>
        <v>COINCIDE</v>
      </c>
    </row>
    <row r="275" spans="1:9" ht="15.75" customHeight="1">
      <c r="A275" s="5">
        <v>700029100</v>
      </c>
      <c r="B275" s="5">
        <v>7000380</v>
      </c>
      <c r="C275" s="5" t="s">
        <v>9</v>
      </c>
      <c r="D275" s="5">
        <v>22.1</v>
      </c>
      <c r="E275" s="5">
        <f t="shared" si="17"/>
        <v>4</v>
      </c>
      <c r="F275" s="5">
        <v>33</v>
      </c>
      <c r="G275" s="5">
        <f t="shared" si="18"/>
        <v>4</v>
      </c>
      <c r="H275" s="5">
        <v>4</v>
      </c>
      <c r="I275" s="5" t="str">
        <f>IF(AVERAGE(E275,G275)=H275,"COINCIDE",IF(G275=H275,"INCONGRUENTE","DISTINTO"))</f>
        <v>COINCIDE</v>
      </c>
    </row>
    <row r="276" spans="1:9" ht="15.75" customHeight="1">
      <c r="A276" s="5">
        <v>700054400</v>
      </c>
      <c r="B276" s="5">
        <v>7000382</v>
      </c>
      <c r="C276" s="5" t="s">
        <v>9</v>
      </c>
      <c r="D276" s="5">
        <v>137</v>
      </c>
      <c r="E276" s="5">
        <f t="shared" si="17"/>
        <v>6</v>
      </c>
      <c r="F276" s="5">
        <v>228</v>
      </c>
      <c r="G276" s="5">
        <f t="shared" si="18"/>
        <v>6</v>
      </c>
      <c r="H276" s="5">
        <v>6</v>
      </c>
      <c r="I276" s="5" t="str">
        <f>IF(AVERAGE(E276,G276)=H276,"COINCIDE",IF(G276=H276,"INCONGRUENTE","DISTINTO"))</f>
        <v>COINCIDE</v>
      </c>
    </row>
    <row r="277" spans="1:9" ht="15.75" customHeight="1">
      <c r="A277" s="5">
        <v>700018000</v>
      </c>
      <c r="B277" s="5">
        <v>7000383</v>
      </c>
      <c r="C277" s="5" t="s">
        <v>9</v>
      </c>
      <c r="D277" s="5">
        <v>128</v>
      </c>
      <c r="E277" s="5">
        <f t="shared" si="17"/>
        <v>6</v>
      </c>
      <c r="F277" s="5">
        <v>0</v>
      </c>
      <c r="G277" s="5">
        <f t="shared" si="18"/>
        <v>1</v>
      </c>
      <c r="H277" s="5">
        <v>7</v>
      </c>
      <c r="I277" s="5" t="str">
        <f>IF(AVERAGE(E277,G277)=H277,"COINCIDE",IF(G277=H277,"INCONGRUENTE",IF(H277=7,"COINCIDE","DISTINTO")))</f>
        <v>COINCIDE</v>
      </c>
    </row>
    <row r="278" spans="1:9" ht="15.75" customHeight="1">
      <c r="A278" s="5">
        <v>700053700</v>
      </c>
      <c r="B278" s="5">
        <v>7000384</v>
      </c>
      <c r="C278" s="5" t="s">
        <v>9</v>
      </c>
      <c r="D278" s="5">
        <v>123</v>
      </c>
      <c r="E278" s="5">
        <f t="shared" si="17"/>
        <v>6</v>
      </c>
      <c r="F278" s="5">
        <v>0</v>
      </c>
      <c r="G278" s="5">
        <f t="shared" si="18"/>
        <v>1</v>
      </c>
      <c r="H278" s="5">
        <v>7</v>
      </c>
      <c r="I278" s="5" t="str">
        <f>IF(AVERAGE(E278,G278)=H278,"COINCIDE",IF(G278=H278,"INCONGRUENTE",IF(H278=7,"COINCIDE","DISTINTO")))</f>
        <v>COINCIDE</v>
      </c>
    </row>
    <row r="279" spans="1:9" ht="15.75" customHeight="1">
      <c r="A279" s="5">
        <v>700053600</v>
      </c>
      <c r="B279" s="5">
        <v>7000385</v>
      </c>
      <c r="C279" s="5" t="s">
        <v>9</v>
      </c>
      <c r="D279" s="5">
        <v>133</v>
      </c>
      <c r="E279" s="5">
        <f t="shared" si="17"/>
        <v>6</v>
      </c>
      <c r="F279" s="5">
        <v>208</v>
      </c>
      <c r="G279" s="5">
        <f t="shared" si="18"/>
        <v>6</v>
      </c>
      <c r="H279" s="5">
        <v>6</v>
      </c>
      <c r="I279" s="5" t="str">
        <f>IF(AVERAGE(E279,G279)=H279,"COINCIDE",IF(G279=H279,"INCONGRUENTE","DISTINTO"))</f>
        <v>COINCIDE</v>
      </c>
    </row>
    <row r="280" spans="1:9" ht="15.75" customHeight="1">
      <c r="A280" s="5">
        <v>700054300</v>
      </c>
      <c r="B280" s="5">
        <v>7000386</v>
      </c>
      <c r="C280" s="5" t="s">
        <v>9</v>
      </c>
      <c r="D280" s="5">
        <v>167</v>
      </c>
      <c r="E280" s="5">
        <f t="shared" si="17"/>
        <v>6</v>
      </c>
      <c r="F280" s="5">
        <v>282</v>
      </c>
      <c r="G280" s="5">
        <f t="shared" si="18"/>
        <v>6</v>
      </c>
      <c r="H280" s="5">
        <v>7</v>
      </c>
      <c r="I280" s="5" t="str">
        <f>IF(AVERAGE(E280,G280)=H280,"COINCIDE",IF(G280=H280,"INCONGRUENTE",IF(H280=7,"COINCIDE","DISTINTO")))</f>
        <v>COINCIDE</v>
      </c>
    </row>
    <row r="281" spans="1:9" ht="15.75" customHeight="1">
      <c r="A281" s="5">
        <v>700053500</v>
      </c>
      <c r="B281" s="5">
        <v>7000387</v>
      </c>
      <c r="C281" s="5" t="s">
        <v>9</v>
      </c>
      <c r="D281" s="5">
        <v>138</v>
      </c>
      <c r="E281" s="5">
        <f t="shared" si="17"/>
        <v>6</v>
      </c>
      <c r="F281" s="5">
        <v>214</v>
      </c>
      <c r="G281" s="5">
        <f t="shared" si="18"/>
        <v>6</v>
      </c>
      <c r="H281" s="5">
        <v>7</v>
      </c>
      <c r="I281" s="5" t="str">
        <f>IF(AVERAGE(E281,G281)=H281,"COINCIDE",IF(G281=H281,"INCONGRUENTE",IF(H281=7,"COINCIDE","DISTINTO")))</f>
        <v>COINCIDE</v>
      </c>
    </row>
    <row r="282" spans="1:9" ht="15.75" customHeight="1">
      <c r="A282" s="5">
        <v>700018500</v>
      </c>
      <c r="B282" s="5">
        <v>7000388</v>
      </c>
      <c r="C282" s="5" t="s">
        <v>9</v>
      </c>
      <c r="D282" s="5">
        <v>147</v>
      </c>
      <c r="E282" s="5">
        <f t="shared" si="17"/>
        <v>6</v>
      </c>
      <c r="F282" s="5">
        <v>255</v>
      </c>
      <c r="G282" s="5">
        <f t="shared" si="18"/>
        <v>6</v>
      </c>
      <c r="H282" s="5">
        <v>6</v>
      </c>
      <c r="I282" s="5" t="str">
        <f>IF(AVERAGE(E282,G282)=H282,"COINCIDE",IF(G282=H282,"INCONGRUENTE","DISTINTO"))</f>
        <v>COINCIDE</v>
      </c>
    </row>
    <row r="283" spans="1:9" ht="15.75" customHeight="1">
      <c r="A283" s="5">
        <v>700054200</v>
      </c>
      <c r="B283" s="5">
        <v>7000389</v>
      </c>
      <c r="C283" s="5" t="s">
        <v>9</v>
      </c>
      <c r="D283" s="5">
        <v>150</v>
      </c>
      <c r="E283" s="5">
        <f t="shared" si="17"/>
        <v>6</v>
      </c>
      <c r="F283" s="5">
        <v>261</v>
      </c>
      <c r="G283" s="5">
        <f t="shared" si="18"/>
        <v>6</v>
      </c>
      <c r="H283" s="5">
        <v>6</v>
      </c>
      <c r="I283" s="5" t="str">
        <f>IF(AVERAGE(E283,G283)=H283,"COINCIDE",IF(G283=H283,"INCONGRUENTE","DISTINTO"))</f>
        <v>COINCIDE</v>
      </c>
    </row>
    <row r="284" spans="1:9" ht="15.75" customHeight="1">
      <c r="A284" s="5">
        <v>700018400</v>
      </c>
      <c r="B284" s="5">
        <v>7000390</v>
      </c>
      <c r="C284" s="5" t="s">
        <v>9</v>
      </c>
      <c r="D284" s="5">
        <v>157</v>
      </c>
      <c r="E284" s="5">
        <f t="shared" si="17"/>
        <v>6</v>
      </c>
      <c r="F284" s="5">
        <v>293</v>
      </c>
      <c r="G284" s="5">
        <f t="shared" si="18"/>
        <v>6</v>
      </c>
      <c r="H284" s="5">
        <v>7</v>
      </c>
      <c r="I284" s="5" t="str">
        <f>IF(AVERAGE(E284,G284)=H284,"COINCIDE",IF(G284=H284,"INCONGRUENTE",IF(H284=7,"COINCIDE","DISTINTO")))</f>
        <v>COINCIDE</v>
      </c>
    </row>
    <row r="285" spans="1:9" ht="15.75" customHeight="1">
      <c r="A285" s="5">
        <v>700018300</v>
      </c>
      <c r="B285" s="5">
        <v>7000391</v>
      </c>
      <c r="C285" s="5" t="s">
        <v>9</v>
      </c>
      <c r="D285" s="5">
        <v>150</v>
      </c>
      <c r="E285" s="5">
        <f t="shared" si="17"/>
        <v>6</v>
      </c>
      <c r="F285" s="5">
        <v>262</v>
      </c>
      <c r="G285" s="5">
        <f t="shared" si="18"/>
        <v>6</v>
      </c>
      <c r="H285" s="5">
        <v>7</v>
      </c>
      <c r="I285" s="5" t="str">
        <f>IF(AVERAGE(E285,G285)=H285,"COINCIDE",IF(G285=H285,"INCONGRUENTE",IF(H285=7,"COINCIDE","DISTINTO")))</f>
        <v>COINCIDE</v>
      </c>
    </row>
    <row r="286" spans="1:9" ht="15.75" customHeight="1">
      <c r="A286" s="5">
        <v>700053400</v>
      </c>
      <c r="B286" s="5">
        <v>7000392</v>
      </c>
      <c r="C286" s="5" t="s">
        <v>9</v>
      </c>
      <c r="D286" s="5">
        <v>129</v>
      </c>
      <c r="E286" s="5">
        <f t="shared" si="17"/>
        <v>6</v>
      </c>
      <c r="F286" s="5">
        <v>194</v>
      </c>
      <c r="G286" s="5">
        <f t="shared" si="18"/>
        <v>6</v>
      </c>
      <c r="H286" s="5">
        <v>6</v>
      </c>
      <c r="I286" s="5" t="str">
        <f>IF(AVERAGE(E286,G286)=H286,"COINCIDE",IF(G286=H286,"INCONGRUENTE","DISTINTO"))</f>
        <v>COINCIDE</v>
      </c>
    </row>
    <row r="287" spans="1:9" ht="15.75" customHeight="1">
      <c r="A287" s="5">
        <v>700018200</v>
      </c>
      <c r="B287" s="5">
        <v>7000393</v>
      </c>
      <c r="C287" s="5" t="s">
        <v>9</v>
      </c>
      <c r="D287" s="5">
        <v>133</v>
      </c>
      <c r="E287" s="5">
        <f t="shared" si="17"/>
        <v>6</v>
      </c>
      <c r="F287" s="5">
        <v>253</v>
      </c>
      <c r="G287" s="5">
        <f t="shared" si="18"/>
        <v>6</v>
      </c>
      <c r="H287" s="5">
        <v>7</v>
      </c>
      <c r="I287" s="5" t="str">
        <f>IF(AVERAGE(E287,G287)=H287,"COINCIDE",IF(G287=H287,"INCONGRUENTE",IF(H287=7,"COINCIDE","DISTINTO")))</f>
        <v>COINCIDE</v>
      </c>
    </row>
    <row r="288" spans="1:9" ht="15.75" customHeight="1">
      <c r="A288" s="5">
        <v>700054100</v>
      </c>
      <c r="B288" s="5">
        <v>7000394</v>
      </c>
      <c r="C288" s="5" t="s">
        <v>9</v>
      </c>
      <c r="D288" s="5">
        <v>149</v>
      </c>
      <c r="E288" s="5">
        <f t="shared" si="17"/>
        <v>6</v>
      </c>
      <c r="F288" s="5">
        <v>257</v>
      </c>
      <c r="G288" s="5">
        <f t="shared" si="18"/>
        <v>6</v>
      </c>
      <c r="H288" s="5">
        <v>6</v>
      </c>
      <c r="I288" s="5" t="str">
        <f>IF(AVERAGE(E288,G288)=H288,"COINCIDE",IF(G288=H288,"INCONGRUENTE","DISTINTO"))</f>
        <v>COINCIDE</v>
      </c>
    </row>
    <row r="289" spans="1:9" ht="15.75" customHeight="1">
      <c r="A289" s="5">
        <v>700054000</v>
      </c>
      <c r="B289" s="5">
        <v>7000395</v>
      </c>
      <c r="C289" s="5" t="s">
        <v>9</v>
      </c>
      <c r="D289" s="5">
        <v>143</v>
      </c>
      <c r="E289" s="5">
        <f t="shared" si="17"/>
        <v>6</v>
      </c>
      <c r="F289" s="5">
        <v>261</v>
      </c>
      <c r="G289" s="5">
        <f t="shared" si="18"/>
        <v>6</v>
      </c>
      <c r="H289" s="5">
        <v>7</v>
      </c>
      <c r="I289" s="5" t="str">
        <f>IF(AVERAGE(E289,G289)=H289,"COINCIDE",IF(G289=H289,"INCONGRUENTE",IF(H289=7,"COINCIDE","DISTINTO")))</f>
        <v>COINCIDE</v>
      </c>
    </row>
    <row r="290" spans="1:9" ht="15.75" customHeight="1">
      <c r="A290" s="5">
        <v>700041700</v>
      </c>
      <c r="B290" s="5">
        <v>7000396</v>
      </c>
      <c r="C290" s="5" t="s">
        <v>9</v>
      </c>
      <c r="D290" s="5">
        <v>144</v>
      </c>
      <c r="E290" s="5">
        <f t="shared" si="17"/>
        <v>6</v>
      </c>
      <c r="F290" s="5">
        <v>250</v>
      </c>
      <c r="G290" s="5">
        <f t="shared" si="18"/>
        <v>6</v>
      </c>
      <c r="H290" s="5">
        <v>6</v>
      </c>
      <c r="I290" s="5" t="str">
        <f>IF(AVERAGE(E290,G290)=H290,"COINCIDE",IF(G290=H290,"INCONGRUENTE","DISTINTO"))</f>
        <v>COINCIDE</v>
      </c>
    </row>
    <row r="291" spans="1:9" ht="15.75" customHeight="1">
      <c r="A291" s="5">
        <v>700054600</v>
      </c>
      <c r="B291" s="5">
        <v>7000397</v>
      </c>
      <c r="C291" s="5" t="s">
        <v>9</v>
      </c>
      <c r="D291" s="5">
        <v>144</v>
      </c>
      <c r="E291" s="5">
        <f t="shared" si="17"/>
        <v>6</v>
      </c>
      <c r="F291" s="5">
        <v>249</v>
      </c>
      <c r="G291" s="5">
        <f t="shared" si="18"/>
        <v>6</v>
      </c>
      <c r="H291" s="5">
        <v>6</v>
      </c>
      <c r="I291" s="5" t="str">
        <f>IF(AVERAGE(E291,G291)=H291,"COINCIDE",IF(G291=H291,"INCONGRUENTE","DISTINTO"))</f>
        <v>COINCIDE</v>
      </c>
    </row>
    <row r="292" spans="1:9" ht="15.75" customHeight="1">
      <c r="A292" s="5">
        <v>700054700</v>
      </c>
      <c r="B292" s="5">
        <v>7000398</v>
      </c>
      <c r="C292" s="5" t="s">
        <v>9</v>
      </c>
      <c r="D292" s="5">
        <v>143</v>
      </c>
      <c r="E292" s="5">
        <f t="shared" si="17"/>
        <v>6</v>
      </c>
      <c r="F292" s="5">
        <v>250</v>
      </c>
      <c r="G292" s="5">
        <f t="shared" si="18"/>
        <v>6</v>
      </c>
      <c r="H292" s="5">
        <v>6</v>
      </c>
      <c r="I292" s="5" t="str">
        <f>IF(AVERAGE(E292,G292)=H292,"COINCIDE",IF(G292=H292,"INCONGRUENTE","DISTINTO"))</f>
        <v>COINCIDE</v>
      </c>
    </row>
    <row r="293" spans="1:9" ht="15.75" customHeight="1">
      <c r="A293" s="5">
        <v>700053900</v>
      </c>
      <c r="B293" s="5">
        <v>7000399</v>
      </c>
      <c r="C293" s="5" t="s">
        <v>9</v>
      </c>
      <c r="D293" s="5">
        <v>136</v>
      </c>
      <c r="E293" s="5">
        <f t="shared" si="17"/>
        <v>6</v>
      </c>
      <c r="F293" s="5">
        <v>259</v>
      </c>
      <c r="G293" s="5">
        <f t="shared" si="18"/>
        <v>6</v>
      </c>
      <c r="H293" s="5">
        <v>7</v>
      </c>
      <c r="I293" s="5" t="str">
        <f>IF(AVERAGE(E293,G293)=H293,"COINCIDE",IF(G293=H293,"INCONGRUENTE",IF(H293=7,"COINCIDE","DISTINTO")))</f>
        <v>COINCIDE</v>
      </c>
    </row>
    <row r="294" spans="1:9" ht="15.75" customHeight="1">
      <c r="A294" s="5">
        <v>700053800</v>
      </c>
      <c r="B294" s="5">
        <v>7000400</v>
      </c>
      <c r="C294" s="5" t="s">
        <v>9</v>
      </c>
      <c r="D294" s="5">
        <v>119</v>
      </c>
      <c r="E294" s="5">
        <f t="shared" si="17"/>
        <v>6</v>
      </c>
      <c r="F294" s="5">
        <v>272</v>
      </c>
      <c r="G294" s="5">
        <f t="shared" si="18"/>
        <v>6</v>
      </c>
      <c r="H294" s="5">
        <v>7</v>
      </c>
      <c r="I294" s="5" t="str">
        <f>IF(AVERAGE(E294,G294)=H294,"COINCIDE",IF(G294=H294,"INCONGRUENTE",IF(H294=7,"COINCIDE","DISTINTO")))</f>
        <v>COINCIDE</v>
      </c>
    </row>
    <row r="295" spans="1:9" ht="15" customHeight="1">
      <c r="A295" s="5">
        <v>700018100</v>
      </c>
      <c r="B295" s="5">
        <v>7000401</v>
      </c>
      <c r="C295" s="5" t="s">
        <v>9</v>
      </c>
      <c r="D295" s="5">
        <v>127</v>
      </c>
      <c r="E295" s="5">
        <f t="shared" si="17"/>
        <v>6</v>
      </c>
      <c r="F295" s="12">
        <v>0</v>
      </c>
      <c r="G295" s="5">
        <f t="shared" si="18"/>
        <v>1</v>
      </c>
      <c r="H295" s="5">
        <v>7</v>
      </c>
      <c r="I295" s="5" t="str">
        <f>IF(AVERAGE(E295,G295)=H295,"COINCIDE",IF(G295=H295,"INCONGRUENTE",IF(H295=7,"COINCIDE","DISTINTO")))</f>
        <v>COINCIDE</v>
      </c>
    </row>
    <row r="296" spans="1:9" ht="15.75" customHeight="1">
      <c r="A296" s="5">
        <v>700053300</v>
      </c>
      <c r="B296" s="5">
        <v>7000402</v>
      </c>
      <c r="C296" s="5" t="s">
        <v>9</v>
      </c>
      <c r="D296" s="5">
        <v>143</v>
      </c>
      <c r="E296" s="5">
        <f t="shared" si="17"/>
        <v>6</v>
      </c>
      <c r="F296" s="5">
        <v>198</v>
      </c>
      <c r="G296" s="5">
        <f t="shared" si="18"/>
        <v>6</v>
      </c>
      <c r="H296" s="5">
        <v>7</v>
      </c>
      <c r="I296" s="5" t="str">
        <f>IF(AVERAGE(E296,G296)=H296,"COINCIDE",IF(G296=H296,"INCONGRUENTE",IF(H296=7,"COINCIDE","DISTINTO")))</f>
        <v>COINCIDE</v>
      </c>
    </row>
    <row r="297" spans="1:9" ht="15.75" customHeight="1">
      <c r="A297" s="5">
        <v>700017800</v>
      </c>
      <c r="B297" s="5">
        <v>7000403</v>
      </c>
      <c r="C297" s="5" t="s">
        <v>9</v>
      </c>
      <c r="D297" s="5">
        <v>134</v>
      </c>
      <c r="E297" s="5">
        <f t="shared" si="17"/>
        <v>6</v>
      </c>
      <c r="F297" s="5">
        <v>183</v>
      </c>
      <c r="G297" s="5">
        <f t="shared" si="18"/>
        <v>6</v>
      </c>
      <c r="H297" s="5">
        <v>7</v>
      </c>
      <c r="I297" s="5" t="str">
        <f>IF(AVERAGE(E297,G297)=H297,"COINCIDE",IF(G297=H297,"INCONGRUENTE",IF(H297=7,"COINCIDE","DISTINTO")))</f>
        <v>COINCIDE</v>
      </c>
    </row>
    <row r="298" spans="1:9" ht="15.75" customHeight="1">
      <c r="A298" s="11">
        <v>700023000</v>
      </c>
      <c r="B298" s="11">
        <v>7000404</v>
      </c>
      <c r="C298" s="11" t="s">
        <v>9</v>
      </c>
      <c r="D298" s="11">
        <v>33.4</v>
      </c>
      <c r="E298" s="11">
        <f t="shared" si="17"/>
        <v>4</v>
      </c>
      <c r="F298" s="11">
        <v>41</v>
      </c>
      <c r="G298" s="11">
        <f t="shared" si="18"/>
        <v>5</v>
      </c>
      <c r="H298" s="11">
        <v>5</v>
      </c>
      <c r="I298" s="11" t="str">
        <f>IF(AVERAGE(E298,G298)=H298,"COINCIDE",IF(G298=H298,"INCONGRUENTE","DISTINTO"))</f>
        <v>INCONGRUENTE</v>
      </c>
    </row>
    <row r="299" spans="1:9" ht="15.75" customHeight="1">
      <c r="A299" s="9">
        <v>700023100</v>
      </c>
      <c r="B299" s="9">
        <v>7000405</v>
      </c>
      <c r="C299" s="9" t="s">
        <v>9</v>
      </c>
      <c r="D299" s="9">
        <v>27.5</v>
      </c>
      <c r="E299" s="9">
        <f t="shared" si="17"/>
        <v>4</v>
      </c>
      <c r="F299" s="9">
        <v>33</v>
      </c>
      <c r="G299" s="9">
        <f t="shared" si="18"/>
        <v>4</v>
      </c>
      <c r="H299" s="9">
        <v>5</v>
      </c>
      <c r="I299" s="9" t="str">
        <f>IF(AVERAGE(E299,G299)=H299,"COINCIDE",IF(G299=H299,"INCONGRUENTE",IF(H299=7,"COINCIDE","DISTINTO")))</f>
        <v>DISTINTO</v>
      </c>
    </row>
    <row r="300" spans="1:9" ht="15.75" customHeight="1">
      <c r="A300" s="5">
        <v>700036200</v>
      </c>
      <c r="B300" s="5">
        <v>7000406</v>
      </c>
      <c r="C300" s="5" t="s">
        <v>9</v>
      </c>
      <c r="D300" s="5">
        <v>27.1</v>
      </c>
      <c r="E300" s="5">
        <f t="shared" si="17"/>
        <v>4</v>
      </c>
      <c r="F300" s="5">
        <v>35</v>
      </c>
      <c r="G300" s="5">
        <f t="shared" si="18"/>
        <v>4</v>
      </c>
      <c r="H300" s="5">
        <v>4</v>
      </c>
      <c r="I300" s="5" t="str">
        <f>IF(AVERAGE(E300,G300)=H300,"COINCIDE",IF(G300=H300,"INCONGRUENTE","DISTINTO"))</f>
        <v>COINCIDE</v>
      </c>
    </row>
    <row r="301" spans="1:9" ht="15.75" customHeight="1">
      <c r="A301" s="9">
        <v>700035900</v>
      </c>
      <c r="B301" s="9">
        <v>7000407</v>
      </c>
      <c r="C301" s="9" t="s">
        <v>9</v>
      </c>
      <c r="D301" s="9">
        <v>28.8</v>
      </c>
      <c r="E301" s="9">
        <f t="shared" si="17"/>
        <v>4</v>
      </c>
      <c r="F301" s="9">
        <v>35</v>
      </c>
      <c r="G301" s="9">
        <f t="shared" si="18"/>
        <v>4</v>
      </c>
      <c r="H301" s="9">
        <v>5</v>
      </c>
      <c r="I301" s="9" t="str">
        <f>IF(AVERAGE(E301,G301)=H301,"COINCIDE",IF(G301=H301,"INCONGRUENTE",IF(H301=7,"COINCIDE","DISTINTO")))</f>
        <v>DISTINTO</v>
      </c>
    </row>
    <row r="302" spans="1:9" ht="15.75" customHeight="1" thickBot="1">
      <c r="A302" s="5">
        <v>700019400</v>
      </c>
      <c r="B302" s="5">
        <v>7000408</v>
      </c>
      <c r="C302" s="5" t="s">
        <v>9</v>
      </c>
      <c r="D302" s="5">
        <v>102</v>
      </c>
      <c r="E302" s="5">
        <f t="shared" si="17"/>
        <v>6</v>
      </c>
      <c r="F302" s="5">
        <v>115</v>
      </c>
      <c r="G302" s="5">
        <f t="shared" si="18"/>
        <v>6</v>
      </c>
      <c r="H302" s="5">
        <v>6</v>
      </c>
      <c r="I302" s="5" t="str">
        <f>IF(AVERAGE(E302,G302)=H302,"COINCIDE",IF(G302=H302,"INCONGRUENTE","DISTINTO"))</f>
        <v>COINCIDE</v>
      </c>
    </row>
    <row r="303" spans="1:9" ht="15.75" customHeight="1" thickTop="1" thickBot="1">
      <c r="A303" s="46">
        <v>700084200</v>
      </c>
      <c r="B303" s="46">
        <v>7000410</v>
      </c>
      <c r="C303" s="46" t="s">
        <v>9</v>
      </c>
      <c r="D303" s="46">
        <v>41.1</v>
      </c>
      <c r="E303" s="47">
        <f t="shared" si="17"/>
        <v>5</v>
      </c>
      <c r="F303" s="46">
        <v>53</v>
      </c>
      <c r="G303" s="47">
        <f t="shared" si="18"/>
        <v>5</v>
      </c>
      <c r="H303" s="46">
        <v>5</v>
      </c>
      <c r="I303" s="47" t="str">
        <f>IF(AVERAGE(E303,G303)=H303,"COINCIDE",IF(G303=H303,"INCONGRUENTE","DISTINTO"))</f>
        <v>COINCIDE</v>
      </c>
    </row>
    <row r="304" spans="1:9" ht="15.75" customHeight="1" thickTop="1">
      <c r="A304" s="5">
        <v>700019100</v>
      </c>
      <c r="B304" s="5">
        <v>7000411</v>
      </c>
      <c r="C304" s="5" t="s">
        <v>9</v>
      </c>
      <c r="D304" s="48">
        <v>42.9</v>
      </c>
      <c r="E304" s="5">
        <f t="shared" si="17"/>
        <v>5</v>
      </c>
      <c r="F304" s="49">
        <v>56</v>
      </c>
      <c r="G304" s="5">
        <f t="shared" si="18"/>
        <v>5</v>
      </c>
      <c r="H304" s="48">
        <v>5</v>
      </c>
      <c r="I304" s="5" t="str">
        <f>IF(AVERAGE(E304,G304)=H304,"COINCIDE",IF(G304=H304,"INCONGRUENTE","DISTINTO"))</f>
        <v>COINCIDE</v>
      </c>
    </row>
    <row r="305" spans="1:9" ht="15.75" customHeight="1">
      <c r="A305" s="11">
        <v>700057800</v>
      </c>
      <c r="B305" s="11">
        <v>7000412</v>
      </c>
      <c r="C305" s="11" t="s">
        <v>9</v>
      </c>
      <c r="D305" s="50">
        <v>38.5</v>
      </c>
      <c r="E305" s="11">
        <f t="shared" si="17"/>
        <v>4</v>
      </c>
      <c r="F305" s="51">
        <v>49</v>
      </c>
      <c r="G305" s="11">
        <f t="shared" si="18"/>
        <v>5</v>
      </c>
      <c r="H305" s="50">
        <v>5</v>
      </c>
      <c r="I305" s="11" t="str">
        <f>IF(AVERAGE(E305,G305)=H305,"COINCIDE",IF(G305=H305,"INCONGRUENTE","DISTINTO"))</f>
        <v>INCONGRUENTE</v>
      </c>
    </row>
    <row r="306" spans="1:9" ht="15.75" customHeight="1">
      <c r="A306" s="7">
        <v>700019300</v>
      </c>
      <c r="B306" s="7">
        <v>7000413</v>
      </c>
      <c r="C306" s="7" t="s">
        <v>9</v>
      </c>
      <c r="D306" s="48">
        <v>145</v>
      </c>
      <c r="E306" s="5">
        <f t="shared" si="17"/>
        <v>6</v>
      </c>
      <c r="F306" s="49">
        <v>167</v>
      </c>
      <c r="G306" s="5">
        <f t="shared" si="18"/>
        <v>6</v>
      </c>
      <c r="H306" s="52">
        <v>7</v>
      </c>
      <c r="I306" s="5" t="str">
        <f>IF(AVERAGE(E306,G306)=H306,"COINCIDE",IF(G306=H306,"INCONGRUENTE",IF(H306=7,"COINCIDE","DISTINTO")))</f>
        <v>COINCIDE</v>
      </c>
    </row>
    <row r="307" spans="1:9" ht="15.75" customHeight="1">
      <c r="A307" s="11">
        <v>700023400</v>
      </c>
      <c r="B307" s="11">
        <v>7000414</v>
      </c>
      <c r="C307" s="11" t="s">
        <v>9</v>
      </c>
      <c r="D307" s="50">
        <v>37.1</v>
      </c>
      <c r="E307" s="11">
        <f t="shared" si="17"/>
        <v>4</v>
      </c>
      <c r="F307" s="51">
        <v>46</v>
      </c>
      <c r="G307" s="11">
        <f t="shared" si="18"/>
        <v>5</v>
      </c>
      <c r="H307" s="50">
        <v>5</v>
      </c>
      <c r="I307" s="11" t="str">
        <f>IF(AVERAGE(E307,G307)=H307,"COINCIDE",IF(G307=H307,"INCONGRUENTE","DISTINTO"))</f>
        <v>INCONGRUENTE</v>
      </c>
    </row>
    <row r="308" spans="1:9" ht="15.75" customHeight="1">
      <c r="A308" s="11">
        <v>700023500</v>
      </c>
      <c r="B308" s="11">
        <v>7000416</v>
      </c>
      <c r="C308" s="11" t="s">
        <v>9</v>
      </c>
      <c r="D308" s="50">
        <v>33.200000000000003</v>
      </c>
      <c r="E308" s="11">
        <f t="shared" si="17"/>
        <v>4</v>
      </c>
      <c r="F308" s="51">
        <v>42</v>
      </c>
      <c r="G308" s="11">
        <f t="shared" si="18"/>
        <v>5</v>
      </c>
      <c r="H308" s="50">
        <v>5</v>
      </c>
      <c r="I308" s="11" t="str">
        <f>IF(AVERAGE(E308,G308)=H308,"COINCIDE",IF(G308=H308,"INCONGRUENTE","DISTINTO"))</f>
        <v>INCONGRUENTE</v>
      </c>
    </row>
    <row r="309" spans="1:9" ht="15.75" customHeight="1">
      <c r="A309" s="11">
        <v>700057300</v>
      </c>
      <c r="B309" s="11">
        <v>7000417</v>
      </c>
      <c r="C309" s="11" t="s">
        <v>9</v>
      </c>
      <c r="D309" s="50">
        <v>35.5</v>
      </c>
      <c r="E309" s="11">
        <f t="shared" si="17"/>
        <v>4</v>
      </c>
      <c r="F309" s="51">
        <v>44</v>
      </c>
      <c r="G309" s="11">
        <f t="shared" si="18"/>
        <v>5</v>
      </c>
      <c r="H309" s="50">
        <v>5</v>
      </c>
      <c r="I309" s="11" t="str">
        <f>IF(AVERAGE(E309,G309)=H309,"COINCIDE",IF(G309=H309,"INCONGRUENTE","DISTINTO"))</f>
        <v>INCONGRUENTE</v>
      </c>
    </row>
    <row r="310" spans="1:9" ht="15.75" customHeight="1">
      <c r="A310" s="9">
        <v>700023200</v>
      </c>
      <c r="B310" s="9">
        <v>7000418</v>
      </c>
      <c r="C310" s="9" t="s">
        <v>9</v>
      </c>
      <c r="D310" s="53">
        <v>32.799999999999997</v>
      </c>
      <c r="E310" s="9">
        <f t="shared" si="17"/>
        <v>4</v>
      </c>
      <c r="F310" s="54">
        <v>40</v>
      </c>
      <c r="G310" s="9">
        <f t="shared" si="18"/>
        <v>4</v>
      </c>
      <c r="H310" s="53">
        <v>5</v>
      </c>
      <c r="I310" s="9" t="str">
        <f>IF(AVERAGE(E310,G310)=H310,"COINCIDE",IF(G310=H310,"INCONGRUENTE",IF(H310=7,"COINCIDE","DISTINTO")))</f>
        <v>DISTINTO</v>
      </c>
    </row>
    <row r="311" spans="1:9" ht="15.75" customHeight="1">
      <c r="A311" s="11">
        <v>700057400</v>
      </c>
      <c r="B311" s="11">
        <v>7000419</v>
      </c>
      <c r="C311" s="11" t="s">
        <v>9</v>
      </c>
      <c r="D311" s="50">
        <v>36.299999999999997</v>
      </c>
      <c r="E311" s="11">
        <f t="shared" si="17"/>
        <v>4</v>
      </c>
      <c r="F311" s="51">
        <v>44</v>
      </c>
      <c r="G311" s="11">
        <f t="shared" si="18"/>
        <v>5</v>
      </c>
      <c r="H311" s="50">
        <v>5</v>
      </c>
      <c r="I311" s="11" t="str">
        <f>IF(AVERAGE(E311,G311)=H311,"COINCIDE",IF(G311=H311,"INCONGRUENTE","DISTINTO"))</f>
        <v>INCONGRUENTE</v>
      </c>
    </row>
    <row r="312" spans="1:9" ht="15.75" customHeight="1">
      <c r="A312" s="9">
        <v>700057500</v>
      </c>
      <c r="B312" s="9">
        <v>7000420</v>
      </c>
      <c r="C312" s="9" t="s">
        <v>9</v>
      </c>
      <c r="D312" s="53">
        <v>32.9</v>
      </c>
      <c r="E312" s="9">
        <f t="shared" si="17"/>
        <v>4</v>
      </c>
      <c r="F312" s="54">
        <v>40</v>
      </c>
      <c r="G312" s="9">
        <f t="shared" si="18"/>
        <v>4</v>
      </c>
      <c r="H312" s="53">
        <v>5</v>
      </c>
      <c r="I312" s="9" t="str">
        <f>IF(AVERAGE(E312,G312)=H312,"COINCIDE",IF(G312=H312,"INCONGRUENTE",IF(H312=7,"COINCIDE","DISTINTO")))</f>
        <v>DISTINTO</v>
      </c>
    </row>
    <row r="313" spans="1:9" ht="15.75" customHeight="1">
      <c r="A313" s="9">
        <v>700019200</v>
      </c>
      <c r="B313" s="9">
        <v>7000421</v>
      </c>
      <c r="C313" s="9" t="s">
        <v>9</v>
      </c>
      <c r="D313" s="53">
        <v>62.7</v>
      </c>
      <c r="E313" s="9">
        <f t="shared" si="17"/>
        <v>5</v>
      </c>
      <c r="F313" s="54">
        <v>79</v>
      </c>
      <c r="G313" s="9">
        <f t="shared" si="18"/>
        <v>5</v>
      </c>
      <c r="H313" s="53">
        <v>6</v>
      </c>
      <c r="I313" s="9" t="str">
        <f>IF(AVERAGE(E313,G313)=H313,"COINCIDE",IF(G313=H313,"INCONGRUENTE",IF(H313=7,"COINCIDE","DISTINTO")))</f>
        <v>DISTINTO</v>
      </c>
    </row>
    <row r="314" spans="1:9" ht="15.75" customHeight="1">
      <c r="A314" s="9">
        <v>700035700</v>
      </c>
      <c r="B314" s="9">
        <v>7000422</v>
      </c>
      <c r="C314" s="9" t="s">
        <v>9</v>
      </c>
      <c r="D314" s="53">
        <v>30.4</v>
      </c>
      <c r="E314" s="9">
        <f t="shared" si="17"/>
        <v>4</v>
      </c>
      <c r="F314" s="54">
        <v>37</v>
      </c>
      <c r="G314" s="9">
        <f t="shared" si="18"/>
        <v>4</v>
      </c>
      <c r="H314" s="53">
        <v>5</v>
      </c>
      <c r="I314" s="9" t="str">
        <f>IF(AVERAGE(E314,G314)=H314,"COINCIDE",IF(G314=H314,"INCONGRUENTE",IF(H314=7,"COINCIDE","DISTINTO")))</f>
        <v>DISTINTO</v>
      </c>
    </row>
    <row r="315" spans="1:9" ht="15.75" customHeight="1">
      <c r="A315" s="9">
        <v>700057600</v>
      </c>
      <c r="B315" s="9">
        <v>7000423</v>
      </c>
      <c r="C315" s="9" t="s">
        <v>9</v>
      </c>
      <c r="D315" s="53">
        <v>30.6</v>
      </c>
      <c r="E315" s="9">
        <f t="shared" si="17"/>
        <v>4</v>
      </c>
      <c r="F315" s="54">
        <v>38</v>
      </c>
      <c r="G315" s="9">
        <f t="shared" si="18"/>
        <v>4</v>
      </c>
      <c r="H315" s="53">
        <v>5</v>
      </c>
      <c r="I315" s="9" t="str">
        <f>IF(AVERAGE(E315,G315)=H315,"COINCIDE",IF(G315=H315,"INCONGRUENTE",IF(H315=7,"COINCIDE","DISTINTO")))</f>
        <v>DISTINTO</v>
      </c>
    </row>
    <row r="316" spans="1:9" ht="15.75" customHeight="1">
      <c r="A316" s="11">
        <v>700023600</v>
      </c>
      <c r="B316" s="11">
        <v>7000424</v>
      </c>
      <c r="C316" s="11" t="s">
        <v>9</v>
      </c>
      <c r="D316" s="50">
        <v>37.200000000000003</v>
      </c>
      <c r="E316" s="11">
        <f t="shared" si="17"/>
        <v>4</v>
      </c>
      <c r="F316" s="51">
        <v>46</v>
      </c>
      <c r="G316" s="11">
        <f t="shared" si="18"/>
        <v>5</v>
      </c>
      <c r="H316" s="50">
        <v>5</v>
      </c>
      <c r="I316" s="11" t="str">
        <f>IF(AVERAGE(E316,G316)=H316,"COINCIDE",IF(G316=H316,"INCONGRUENTE","DISTINTO"))</f>
        <v>INCONGRUENTE</v>
      </c>
    </row>
    <row r="317" spans="1:9" ht="15.75" customHeight="1">
      <c r="A317" s="9">
        <v>700036000</v>
      </c>
      <c r="B317" s="9">
        <v>7000426</v>
      </c>
      <c r="C317" s="9" t="s">
        <v>9</v>
      </c>
      <c r="D317" s="53">
        <v>31.4</v>
      </c>
      <c r="E317" s="9">
        <f t="shared" si="17"/>
        <v>4</v>
      </c>
      <c r="F317" s="54">
        <v>38</v>
      </c>
      <c r="G317" s="9">
        <f t="shared" si="18"/>
        <v>4</v>
      </c>
      <c r="H317" s="53">
        <v>5</v>
      </c>
      <c r="I317" s="9" t="str">
        <f>IF(AVERAGE(E317,G317)=H317,"COINCIDE",IF(G317=H317,"INCONGRUENTE",IF(H317=7,"COINCIDE","DISTINTO")))</f>
        <v>DISTINTO</v>
      </c>
    </row>
    <row r="318" spans="1:9" ht="15.75" customHeight="1">
      <c r="A318" s="5">
        <v>700029400</v>
      </c>
      <c r="B318" s="5">
        <v>7000427</v>
      </c>
      <c r="C318" s="5" t="s">
        <v>9</v>
      </c>
      <c r="D318" s="48">
        <v>21.5</v>
      </c>
      <c r="E318" s="5">
        <f t="shared" si="17"/>
        <v>4</v>
      </c>
      <c r="F318" s="49">
        <v>25</v>
      </c>
      <c r="G318" s="5">
        <f t="shared" si="18"/>
        <v>4</v>
      </c>
      <c r="H318" s="48">
        <v>4</v>
      </c>
      <c r="I318" s="5" t="str">
        <f>IF(AVERAGE(E318,G318)=H318,"COINCIDE",IF(G318=H318,"INCONGRUENTE","DISTINTO"))</f>
        <v>COINCIDE</v>
      </c>
    </row>
    <row r="319" spans="1:9" ht="15.75" customHeight="1">
      <c r="A319" s="11">
        <v>700029600</v>
      </c>
      <c r="B319" s="11">
        <v>7000430</v>
      </c>
      <c r="C319" s="11" t="s">
        <v>9</v>
      </c>
      <c r="D319" s="50">
        <v>19.5</v>
      </c>
      <c r="E319" s="35">
        <f t="shared" si="17"/>
        <v>3</v>
      </c>
      <c r="F319" s="51">
        <v>23</v>
      </c>
      <c r="G319" s="55">
        <f t="shared" si="18"/>
        <v>4</v>
      </c>
      <c r="H319" s="50">
        <v>4</v>
      </c>
      <c r="I319" s="35" t="str">
        <f>IF(AVERAGE(E319,G319)=H319,"COINCIDE",IF(G319=H319,"INCONGRUENTE","DISTINTO"))</f>
        <v>INCONGRUENTE</v>
      </c>
    </row>
    <row r="320" spans="1:9" ht="15.75" customHeight="1">
      <c r="A320" s="5">
        <v>700040600</v>
      </c>
      <c r="B320" s="5">
        <v>7000435</v>
      </c>
      <c r="C320" s="5" t="s">
        <v>13</v>
      </c>
      <c r="D320" s="5">
        <v>13.6</v>
      </c>
      <c r="E320" s="5">
        <f t="shared" ref="E320:E321" si="19">IF(D320&lt;=2,3,IF(D320&lt;=10,5,6))</f>
        <v>6</v>
      </c>
      <c r="F320" s="5">
        <v>20</v>
      </c>
      <c r="G320" s="5">
        <f t="shared" ref="G320:G321" si="20">IF(F320&lt;=2,3,IF(F320&lt;=10,5,6))</f>
        <v>6</v>
      </c>
      <c r="H320" s="5">
        <v>6</v>
      </c>
      <c r="I320" s="5" t="str">
        <f>IF(AVERAGE(E320,G320)=H320,"COINCIDE",IF(G320=H320,"INCONGRUENTE",IF(H320=7,"COINCIDE","DISTINTO")))</f>
        <v>COINCIDE</v>
      </c>
    </row>
    <row r="321" spans="1:9" ht="15.75" customHeight="1">
      <c r="A321" s="5">
        <v>700051500</v>
      </c>
      <c r="B321" s="5">
        <v>7000436</v>
      </c>
      <c r="C321" s="5" t="s">
        <v>13</v>
      </c>
      <c r="D321" s="5">
        <v>2.79</v>
      </c>
      <c r="E321" s="5">
        <f t="shared" si="19"/>
        <v>5</v>
      </c>
      <c r="F321" s="5">
        <v>3</v>
      </c>
      <c r="G321" s="5">
        <f t="shared" si="20"/>
        <v>5</v>
      </c>
      <c r="H321" s="5">
        <v>5</v>
      </c>
      <c r="I321" s="5" t="str">
        <f>IF(AVERAGE(E321,G321)=H321,"COINCIDE",IF(G321=H321,"INCONGRUENTE",IF(H321=7,"COINCIDE","DISTINTO")))</f>
        <v>COINCIDE</v>
      </c>
    </row>
    <row r="322" spans="1:9" ht="15.75" customHeight="1">
      <c r="A322" s="6">
        <v>700006900</v>
      </c>
      <c r="B322" s="6">
        <v>7000438</v>
      </c>
      <c r="C322" s="6" t="s">
        <v>9</v>
      </c>
      <c r="D322" s="56">
        <v>143</v>
      </c>
      <c r="E322" s="6">
        <f t="shared" ref="E322:E330" si="21">IF(D322&lt;=4,1,IF(D322&lt;=10,2,IF(D322&lt;=20,3,IF(D322&lt;=40,4,IF(D322&lt;=80,5,6)))))</f>
        <v>6</v>
      </c>
      <c r="F322" s="57">
        <v>168</v>
      </c>
      <c r="G322" s="6">
        <f t="shared" ref="G322:G330" si="22">IF(F322&lt;=4,1,IF(F322&lt;=10,2,IF(F322&lt;=20,3,IF(F322&lt;=40,4,IF(F322&lt;=80,5,6)))))</f>
        <v>6</v>
      </c>
      <c r="H322" s="56">
        <v>6</v>
      </c>
      <c r="I322" s="6" t="str">
        <f>IF(AVERAGE(E322,G322)=H322,"COINCIDE",IF(G322=H322,"INCONGRUENTE","DISTINTO"))</f>
        <v>COINCIDE</v>
      </c>
    </row>
    <row r="323" spans="1:9" ht="15.75" customHeight="1">
      <c r="A323" s="39">
        <v>700008100</v>
      </c>
      <c r="B323" s="11">
        <v>7000439</v>
      </c>
      <c r="C323" s="11" t="s">
        <v>9</v>
      </c>
      <c r="D323" s="50">
        <v>56</v>
      </c>
      <c r="E323" s="35">
        <f t="shared" si="21"/>
        <v>5</v>
      </c>
      <c r="F323" s="51">
        <v>89</v>
      </c>
      <c r="G323" s="35">
        <f t="shared" si="22"/>
        <v>6</v>
      </c>
      <c r="H323" s="50">
        <v>6</v>
      </c>
      <c r="I323" s="35" t="str">
        <f>IF(AVERAGE(E323,G323)=H323,"COINCIDE",IF(G323=H323,"INCONGRUENTE","DISTINTO"))</f>
        <v>INCONGRUENTE</v>
      </c>
    </row>
    <row r="324" spans="1:9" ht="15.75" customHeight="1">
      <c r="A324" s="27">
        <v>700014200</v>
      </c>
      <c r="B324" s="26">
        <v>7000440</v>
      </c>
      <c r="C324" s="26" t="s">
        <v>9</v>
      </c>
      <c r="D324" s="58">
        <v>50.6</v>
      </c>
      <c r="E324" s="26">
        <f t="shared" si="21"/>
        <v>5</v>
      </c>
      <c r="F324" s="59">
        <v>56</v>
      </c>
      <c r="G324" s="26">
        <f t="shared" si="22"/>
        <v>5</v>
      </c>
      <c r="H324" s="60">
        <v>5</v>
      </c>
      <c r="I324" s="26" t="str">
        <f>IF(AVERAGE(E324,G324)=H324,"COINCIDE",IF(G324=H324,"INCONGRUENTE",IF(H324=7,"COINCIDE","DISTINTO")))</f>
        <v>COINCIDE</v>
      </c>
    </row>
    <row r="325" spans="1:9" ht="15.75" customHeight="1">
      <c r="A325" s="9">
        <v>700034000</v>
      </c>
      <c r="B325" s="9">
        <v>7000441</v>
      </c>
      <c r="C325" s="9" t="s">
        <v>9</v>
      </c>
      <c r="D325" s="61">
        <v>14.4</v>
      </c>
      <c r="E325" s="9">
        <f t="shared" si="21"/>
        <v>3</v>
      </c>
      <c r="F325" s="54">
        <v>16</v>
      </c>
      <c r="G325" s="9">
        <f t="shared" si="22"/>
        <v>3</v>
      </c>
      <c r="H325" s="53">
        <v>4</v>
      </c>
      <c r="I325" s="9" t="str">
        <f>IF(AVERAGE(E325,G325)=H325,"COINCIDE",IF(G325=H325,"INCONGRUENTE",IF(H325=7,"COINCIDE","DISTINTO")))</f>
        <v>DISTINTO</v>
      </c>
    </row>
    <row r="326" spans="1:9" ht="15.75" customHeight="1">
      <c r="A326" s="5">
        <v>700076700</v>
      </c>
      <c r="B326" s="5">
        <v>7000664</v>
      </c>
      <c r="C326" s="5" t="s">
        <v>9</v>
      </c>
      <c r="D326" s="48">
        <v>3.36</v>
      </c>
      <c r="E326" s="5">
        <f t="shared" si="21"/>
        <v>1</v>
      </c>
      <c r="F326" s="49">
        <v>4</v>
      </c>
      <c r="G326" s="5">
        <f t="shared" si="22"/>
        <v>1</v>
      </c>
      <c r="H326" s="48">
        <v>1</v>
      </c>
      <c r="I326" s="5" t="str">
        <f>IF(AVERAGE(E326,G326)=H326,"COINCIDE",IF(G326=H326,"INCONGRUENTE","DISTINTO"))</f>
        <v>COINCIDE</v>
      </c>
    </row>
    <row r="327" spans="1:9" ht="15.75" customHeight="1">
      <c r="A327" s="5">
        <v>700079400</v>
      </c>
      <c r="B327" s="5">
        <v>7000794</v>
      </c>
      <c r="C327" s="5" t="s">
        <v>9</v>
      </c>
      <c r="D327" s="48">
        <v>144</v>
      </c>
      <c r="E327" s="5">
        <f t="shared" si="21"/>
        <v>6</v>
      </c>
      <c r="F327" s="49">
        <v>250</v>
      </c>
      <c r="G327" s="5">
        <f t="shared" si="22"/>
        <v>6</v>
      </c>
      <c r="H327" s="48">
        <v>6</v>
      </c>
      <c r="I327" s="5" t="str">
        <f>IF(AVERAGE(E327,G327)=H327,"COINCIDE",IF(G327=H327,"INCONGRUENTE","DISTINTO"))</f>
        <v>COINCIDE</v>
      </c>
    </row>
    <row r="328" spans="1:9" ht="15" customHeight="1">
      <c r="A328" s="9">
        <v>700035200</v>
      </c>
      <c r="B328" s="9">
        <v>7050002</v>
      </c>
      <c r="C328" s="9" t="s">
        <v>9</v>
      </c>
      <c r="D328" s="53">
        <v>8</v>
      </c>
      <c r="E328" s="9">
        <f t="shared" si="21"/>
        <v>2</v>
      </c>
      <c r="F328" s="54">
        <v>9</v>
      </c>
      <c r="G328" s="9">
        <f t="shared" si="22"/>
        <v>2</v>
      </c>
      <c r="H328" s="53">
        <v>3</v>
      </c>
      <c r="I328" s="9" t="str">
        <f>IF(AVERAGE(E328,G328)=H328,"COINCIDE",IF(G328=H328,"INCONGRUENTE",IF(H328=7,"COINCIDE","DISTINTO")))</f>
        <v>DISTINTO</v>
      </c>
    </row>
    <row r="329" spans="1:9" ht="15.75" customHeight="1">
      <c r="A329" s="5">
        <v>700002800</v>
      </c>
      <c r="B329" s="5">
        <v>7050028</v>
      </c>
      <c r="C329" s="5" t="s">
        <v>9</v>
      </c>
      <c r="D329" s="48">
        <v>12.4</v>
      </c>
      <c r="E329" s="5">
        <f t="shared" si="21"/>
        <v>3</v>
      </c>
      <c r="F329" s="49">
        <v>15</v>
      </c>
      <c r="G329" s="5">
        <f t="shared" si="22"/>
        <v>3</v>
      </c>
      <c r="H329" s="48">
        <v>3</v>
      </c>
      <c r="I329" s="5" t="str">
        <f>IF(AVERAGE(E329,G329)=H329,"COINCIDE",IF(G329=H329,"INCONGRUENTE","DISTINTO"))</f>
        <v>COINCIDE</v>
      </c>
    </row>
    <row r="330" spans="1:9" ht="15.75" customHeight="1">
      <c r="A330" s="11">
        <v>700035600</v>
      </c>
      <c r="B330" s="11">
        <v>7050035</v>
      </c>
      <c r="C330" s="11" t="s">
        <v>9</v>
      </c>
      <c r="D330" s="11">
        <v>3.88</v>
      </c>
      <c r="E330" s="35">
        <f t="shared" si="21"/>
        <v>1</v>
      </c>
      <c r="F330" s="11">
        <v>5</v>
      </c>
      <c r="G330" s="35">
        <f t="shared" si="22"/>
        <v>2</v>
      </c>
      <c r="H330" s="11">
        <v>2</v>
      </c>
      <c r="I330" s="35" t="str">
        <f>IF(AVERAGE(E330,G330)=H330,"COINCIDE",IF(G330=H330,"INCONGRUENTE","DISTINTO"))</f>
        <v>INCONGRUENTE</v>
      </c>
    </row>
    <row r="331" spans="1:9" ht="15.75" customHeight="1">
      <c r="A331" s="22">
        <v>700091800</v>
      </c>
      <c r="B331" s="22">
        <v>7050038</v>
      </c>
      <c r="C331" s="22" t="s">
        <v>12</v>
      </c>
      <c r="D331" s="62">
        <v>0.53700000000000003</v>
      </c>
      <c r="E331" s="22">
        <f>IF(D331&lt;=2,3,IF(D331&lt;=40,4,IF(D331&lt;=80,5,6)))</f>
        <v>3</v>
      </c>
      <c r="F331" s="63">
        <v>2</v>
      </c>
      <c r="G331" s="22">
        <f>IF(F331&lt;=2,3,IF(F331&lt;=40,4,IF(F331&lt;=80,5,6)))</f>
        <v>3</v>
      </c>
      <c r="H331" s="62">
        <v>3</v>
      </c>
      <c r="I331" s="22" t="str">
        <f>IF(AVERAGE(E331,G331)=H331,"COINCIDE",IF(G331=H331,"INCONGRUENTE",IF(H331=7,"COINCIDE","DISTINTO")))</f>
        <v>COINCIDE</v>
      </c>
    </row>
    <row r="332" spans="1:9" ht="15.75" customHeight="1">
      <c r="A332" s="11">
        <v>700004600</v>
      </c>
      <c r="B332" s="11">
        <v>7050041</v>
      </c>
      <c r="C332" s="11" t="s">
        <v>9</v>
      </c>
      <c r="D332" s="50">
        <v>3.4</v>
      </c>
      <c r="E332" s="35">
        <f t="shared" ref="E332:E348" si="23">IF(D332&lt;=4,1,IF(D332&lt;=10,2,IF(D332&lt;=20,3,IF(D332&lt;=40,4,IF(D332&lt;=80,5,6)))))</f>
        <v>1</v>
      </c>
      <c r="F332" s="51">
        <v>5</v>
      </c>
      <c r="G332" s="35">
        <f t="shared" ref="G332:G348" si="24">IF(F332&lt;=4,1,IF(F332&lt;=10,2,IF(F332&lt;=20,3,IF(F332&lt;=40,4,IF(F332&lt;=80,5,6)))))</f>
        <v>2</v>
      </c>
      <c r="H332" s="50">
        <v>2</v>
      </c>
      <c r="I332" s="35" t="str">
        <f>IF(AVERAGE(E332,G332)=H332,"COINCIDE",IF(G332=H332,"INCONGRUENTE","DISTINTO"))</f>
        <v>INCONGRUENTE</v>
      </c>
    </row>
    <row r="333" spans="1:9" ht="15.75" customHeight="1">
      <c r="A333" s="11">
        <v>700004900</v>
      </c>
      <c r="B333" s="11">
        <v>7050043</v>
      </c>
      <c r="C333" s="11" t="s">
        <v>9</v>
      </c>
      <c r="D333" s="50">
        <v>3.97</v>
      </c>
      <c r="E333" s="35">
        <f t="shared" si="23"/>
        <v>1</v>
      </c>
      <c r="F333" s="51">
        <v>5</v>
      </c>
      <c r="G333" s="35">
        <f t="shared" si="24"/>
        <v>2</v>
      </c>
      <c r="H333" s="50">
        <v>2</v>
      </c>
      <c r="I333" s="35" t="str">
        <f>IF(AVERAGE(E333,G333)=H333,"COINCIDE",IF(G333=H333,"INCONGRUENTE","DISTINTO"))</f>
        <v>INCONGRUENTE</v>
      </c>
    </row>
    <row r="334" spans="1:9" ht="16.5" customHeight="1">
      <c r="A334" s="42">
        <v>700064300</v>
      </c>
      <c r="B334" s="42">
        <v>7050047</v>
      </c>
      <c r="C334" s="42" t="s">
        <v>9</v>
      </c>
      <c r="D334" s="64">
        <v>5.27</v>
      </c>
      <c r="E334" s="42">
        <f t="shared" si="23"/>
        <v>2</v>
      </c>
      <c r="F334" s="65">
        <v>7</v>
      </c>
      <c r="G334" s="42">
        <f t="shared" si="24"/>
        <v>2</v>
      </c>
      <c r="H334" s="64">
        <v>2</v>
      </c>
      <c r="I334" s="5" t="str">
        <f>IF(AVERAGE(E334,G334)=H334,"COINCIDE",IF(G334=H334,"INCONGRUENTE","DISTINTO"))</f>
        <v>COINCIDE</v>
      </c>
    </row>
    <row r="335" spans="1:9" ht="15.75" customHeight="1">
      <c r="A335" s="9">
        <v>700024900</v>
      </c>
      <c r="B335" s="9">
        <v>7050054</v>
      </c>
      <c r="C335" s="9" t="s">
        <v>9</v>
      </c>
      <c r="D335" s="9">
        <v>5.39</v>
      </c>
      <c r="E335" s="9">
        <f t="shared" si="23"/>
        <v>2</v>
      </c>
      <c r="F335" s="9">
        <v>7</v>
      </c>
      <c r="G335" s="9">
        <f t="shared" si="24"/>
        <v>2</v>
      </c>
      <c r="H335" s="9">
        <v>3</v>
      </c>
      <c r="I335" s="9" t="str">
        <f>IF(AVERAGE(E335,G335)=H335,"COINCIDE",IF(G335=H335,"INCONGRUENTE",IF(H335=7,"COINCIDE","DISTINTO")))</f>
        <v>DISTINTO</v>
      </c>
    </row>
    <row r="336" spans="1:9" ht="15.75" customHeight="1">
      <c r="A336" s="5">
        <v>700007300</v>
      </c>
      <c r="B336" s="5">
        <v>7050063</v>
      </c>
      <c r="C336" s="5" t="s">
        <v>9</v>
      </c>
      <c r="D336" s="5">
        <v>187</v>
      </c>
      <c r="E336" s="5">
        <f t="shared" si="23"/>
        <v>6</v>
      </c>
      <c r="F336" s="5">
        <v>231</v>
      </c>
      <c r="G336" s="5">
        <f t="shared" si="24"/>
        <v>6</v>
      </c>
      <c r="H336" s="5">
        <v>7</v>
      </c>
      <c r="I336" s="5" t="str">
        <f>IF(AVERAGE(E336,G336)=H336,"COINCIDE",IF(G336=H336,"INCONGRUENTE",IF(H336=7,"COINCIDE","DISTINTO")))</f>
        <v>COINCIDE</v>
      </c>
    </row>
    <row r="337" spans="1:9" ht="14.4">
      <c r="A337" s="5">
        <v>700008000</v>
      </c>
      <c r="B337" s="5">
        <v>7050068</v>
      </c>
      <c r="C337" s="5" t="s">
        <v>9</v>
      </c>
      <c r="D337" s="5">
        <v>162</v>
      </c>
      <c r="E337" s="5">
        <f t="shared" si="23"/>
        <v>6</v>
      </c>
      <c r="F337" s="5">
        <v>181</v>
      </c>
      <c r="G337" s="5">
        <f t="shared" si="24"/>
        <v>6</v>
      </c>
      <c r="H337" s="5">
        <v>6</v>
      </c>
      <c r="I337" s="5" t="str">
        <f>IF(AVERAGE(E337,G337)=H337,"COINCIDE",IF(G337=H337,"INCONGRUENTE",IF(H337=7,"COINCIDE","DISTINTO")))</f>
        <v>COINCIDE</v>
      </c>
    </row>
    <row r="338" spans="1:9" ht="15.75" customHeight="1">
      <c r="A338" s="5">
        <v>700008001</v>
      </c>
      <c r="B338" s="5">
        <v>7050069</v>
      </c>
      <c r="C338" s="5" t="s">
        <v>9</v>
      </c>
      <c r="D338" s="5">
        <v>156</v>
      </c>
      <c r="E338" s="5">
        <f t="shared" si="23"/>
        <v>6</v>
      </c>
      <c r="F338" s="5">
        <v>184</v>
      </c>
      <c r="G338" s="5">
        <f t="shared" si="24"/>
        <v>6</v>
      </c>
      <c r="H338" s="5">
        <v>6</v>
      </c>
      <c r="I338" s="5" t="str">
        <f>IF(AVERAGE(E338,G338)=H338,"COINCIDE",IF(G338=H338,"INCONGRUENTE",IF(H338=7,"COINCIDE","DISTINTO")))</f>
        <v>COINCIDE</v>
      </c>
    </row>
    <row r="339" spans="1:9" ht="15.75" customHeight="1">
      <c r="A339" s="5">
        <v>700010100</v>
      </c>
      <c r="B339" s="5">
        <v>7050086</v>
      </c>
      <c r="C339" s="5" t="s">
        <v>9</v>
      </c>
      <c r="D339" s="12">
        <v>0.61</v>
      </c>
      <c r="E339" s="5">
        <f t="shared" si="23"/>
        <v>1</v>
      </c>
      <c r="F339" s="5">
        <v>0.83</v>
      </c>
      <c r="G339" s="5">
        <f t="shared" si="24"/>
        <v>1</v>
      </c>
      <c r="H339" s="5">
        <v>1</v>
      </c>
      <c r="I339" s="5" t="str">
        <f>IF(AVERAGE(E339,G339)=H339,"COINCIDE",IF(G339=H339,"INCONGRUENTE","DISTINTO"))</f>
        <v>COINCIDE</v>
      </c>
    </row>
    <row r="340" spans="1:9" ht="15.75" customHeight="1">
      <c r="A340" s="5">
        <v>700012500</v>
      </c>
      <c r="B340" s="5">
        <v>7050105</v>
      </c>
      <c r="C340" s="5" t="s">
        <v>9</v>
      </c>
      <c r="D340" s="5">
        <v>10.199999999999999</v>
      </c>
      <c r="E340" s="5">
        <f t="shared" si="23"/>
        <v>3</v>
      </c>
      <c r="F340" s="5">
        <v>11</v>
      </c>
      <c r="G340" s="5">
        <f t="shared" si="24"/>
        <v>3</v>
      </c>
      <c r="H340" s="5">
        <v>3</v>
      </c>
      <c r="I340" s="5" t="str">
        <f>IF(AVERAGE(E340,G340)=H340,"COINCIDE",IF(G340=H340,"INCONGRUENTE","DISTINTO"))</f>
        <v>COINCIDE</v>
      </c>
    </row>
    <row r="341" spans="1:9" ht="15.75" customHeight="1">
      <c r="A341" s="5">
        <v>700015700</v>
      </c>
      <c r="B341" s="5">
        <v>7050135</v>
      </c>
      <c r="C341" s="5" t="s">
        <v>9</v>
      </c>
      <c r="D341" s="5">
        <v>5.28</v>
      </c>
      <c r="E341" s="5">
        <f t="shared" si="23"/>
        <v>2</v>
      </c>
      <c r="F341" s="5">
        <v>6</v>
      </c>
      <c r="G341" s="5">
        <f t="shared" si="24"/>
        <v>2</v>
      </c>
      <c r="H341" s="5">
        <v>2</v>
      </c>
      <c r="I341" s="5" t="str">
        <f>IF(AVERAGE(E341,G341)=H341,"COINCIDE",IF(G341=H341,"INCONGRUENTE","DISTINTO"))</f>
        <v>COINCIDE</v>
      </c>
    </row>
    <row r="342" spans="1:9" ht="15.75" customHeight="1">
      <c r="A342" s="5">
        <v>700017900</v>
      </c>
      <c r="B342" s="5">
        <v>7050153</v>
      </c>
      <c r="C342" s="5" t="s">
        <v>9</v>
      </c>
      <c r="D342" s="5">
        <v>144</v>
      </c>
      <c r="E342" s="5">
        <f t="shared" si="23"/>
        <v>6</v>
      </c>
      <c r="F342" s="5">
        <v>250</v>
      </c>
      <c r="G342" s="5">
        <f t="shared" si="24"/>
        <v>6</v>
      </c>
      <c r="H342" s="5">
        <v>6</v>
      </c>
      <c r="I342" s="5" t="str">
        <f>IF(AVERAGE(E342,G342)=H342,"COINCIDE",IF(G342=H342,"INCONGRUENTE","DISTINTO"))</f>
        <v>COINCIDE</v>
      </c>
    </row>
    <row r="343" spans="1:9" ht="15.75" customHeight="1">
      <c r="A343" s="9">
        <v>700020300</v>
      </c>
      <c r="B343" s="9">
        <v>7050177</v>
      </c>
      <c r="C343" s="9" t="s">
        <v>9</v>
      </c>
      <c r="D343" s="9">
        <v>35.4</v>
      </c>
      <c r="E343" s="9">
        <f t="shared" si="23"/>
        <v>4</v>
      </c>
      <c r="F343" s="9">
        <v>38</v>
      </c>
      <c r="G343" s="9">
        <f t="shared" si="24"/>
        <v>4</v>
      </c>
      <c r="H343" s="9">
        <v>5</v>
      </c>
      <c r="I343" s="9" t="str">
        <f>IF(AVERAGE(E343,G343)=H343,"COINCIDE",IF(G343=H343,"INCONGRUENTE",IF(H343=7,"COINCIDE","DISTINTO")))</f>
        <v>DISTINTO</v>
      </c>
    </row>
    <row r="344" spans="1:9" ht="15.75" customHeight="1">
      <c r="A344" s="5">
        <v>700022300</v>
      </c>
      <c r="B344" s="5">
        <v>7050194</v>
      </c>
      <c r="C344" s="5" t="s">
        <v>9</v>
      </c>
      <c r="D344" s="5">
        <v>91.2</v>
      </c>
      <c r="E344" s="5">
        <f t="shared" si="23"/>
        <v>6</v>
      </c>
      <c r="F344" s="5">
        <v>211</v>
      </c>
      <c r="G344" s="5">
        <f t="shared" si="24"/>
        <v>6</v>
      </c>
      <c r="H344" s="5">
        <v>6</v>
      </c>
      <c r="I344" s="5" t="str">
        <f>IF(AVERAGE(E344,G344)=H344,"COINCIDE",IF(G344=H344,"INCONGRUENTE","DISTINTO"))</f>
        <v>COINCIDE</v>
      </c>
    </row>
    <row r="345" spans="1:9" ht="15.75" customHeight="1">
      <c r="A345" s="5">
        <v>700059200</v>
      </c>
      <c r="B345" s="5">
        <v>7050206</v>
      </c>
      <c r="C345" s="5" t="s">
        <v>9</v>
      </c>
      <c r="D345" s="5">
        <v>4.2300000000000004</v>
      </c>
      <c r="E345" s="5">
        <f t="shared" si="23"/>
        <v>2</v>
      </c>
      <c r="F345" s="5">
        <v>5</v>
      </c>
      <c r="G345" s="5">
        <f t="shared" si="24"/>
        <v>2</v>
      </c>
      <c r="H345" s="5">
        <v>2</v>
      </c>
      <c r="I345" s="5" t="str">
        <f>IF(AVERAGE(E345,G345)=H345,"COINCIDE",IF(G345=H345,"INCONGRUENTE","DISTINTO"))</f>
        <v>COINCIDE</v>
      </c>
    </row>
    <row r="346" spans="1:9" ht="15.75" customHeight="1">
      <c r="A346" s="9">
        <v>700034100</v>
      </c>
      <c r="B346" s="9">
        <v>7050253</v>
      </c>
      <c r="C346" s="9" t="s">
        <v>9</v>
      </c>
      <c r="D346" s="9">
        <v>7.31</v>
      </c>
      <c r="E346" s="9">
        <f t="shared" si="23"/>
        <v>2</v>
      </c>
      <c r="F346" s="9">
        <v>8</v>
      </c>
      <c r="G346" s="9">
        <f t="shared" si="24"/>
        <v>2</v>
      </c>
      <c r="H346" s="9">
        <v>3</v>
      </c>
      <c r="I346" s="9" t="str">
        <f>IF(AVERAGE(E346,G346)=H346,"COINCIDE",IF(G346=H346,"INCONGRUENTE",IF(H346=7,"COINCIDE","DISTINTO")))</f>
        <v>DISTINTO</v>
      </c>
    </row>
    <row r="347" spans="1:9" ht="15.75" customHeight="1">
      <c r="A347" s="42">
        <v>700033500</v>
      </c>
      <c r="B347" s="42">
        <v>7050260</v>
      </c>
      <c r="C347" s="42" t="s">
        <v>9</v>
      </c>
      <c r="D347" s="66">
        <v>1.74</v>
      </c>
      <c r="E347" s="42">
        <f t="shared" si="23"/>
        <v>1</v>
      </c>
      <c r="F347" s="42">
        <v>2</v>
      </c>
      <c r="G347" s="42">
        <f t="shared" si="24"/>
        <v>1</v>
      </c>
      <c r="H347" s="42">
        <v>1</v>
      </c>
      <c r="I347" s="42" t="str">
        <f>IF(AVERAGE(E347,G347)=H347,"COINCIDE",IF(G347=H347,"INCONGRUENTE","DISTINTO"))</f>
        <v>COINCIDE</v>
      </c>
    </row>
    <row r="348" spans="1:9" ht="15.75" customHeight="1">
      <c r="A348" s="9">
        <v>700037000</v>
      </c>
      <c r="B348" s="9">
        <v>7050281</v>
      </c>
      <c r="C348" s="9" t="s">
        <v>9</v>
      </c>
      <c r="D348" s="9">
        <v>3.74</v>
      </c>
      <c r="E348" s="9">
        <f t="shared" si="23"/>
        <v>1</v>
      </c>
      <c r="F348" s="9">
        <v>4</v>
      </c>
      <c r="G348" s="67">
        <f t="shared" si="24"/>
        <v>1</v>
      </c>
      <c r="H348" s="9">
        <v>2</v>
      </c>
      <c r="I348" s="9" t="str">
        <f>IF(AVERAGE(E348,G348)=H348,"COINCIDE",IF(G348=H348,"INCONGRUENTE",IF(H348=7,"COINCIDE","DISTINTO")))</f>
        <v>DISTINTO</v>
      </c>
    </row>
    <row r="349" spans="1:9" ht="15.75" customHeight="1">
      <c r="A349" s="5">
        <v>700045000</v>
      </c>
      <c r="B349" s="5">
        <v>7050300</v>
      </c>
      <c r="C349" s="5" t="s">
        <v>13</v>
      </c>
      <c r="D349" s="5">
        <v>12.2</v>
      </c>
      <c r="E349" s="5">
        <f>IF(D349&lt;=2,3,IF(D349&lt;=10,5,6))</f>
        <v>6</v>
      </c>
      <c r="F349" s="5">
        <v>14</v>
      </c>
      <c r="G349" s="5">
        <f>IF(F349&lt;=2,3,IF(F349&lt;=10,5,6))</f>
        <v>6</v>
      </c>
      <c r="H349" s="5">
        <v>6</v>
      </c>
      <c r="I349" s="5" t="str">
        <f>IF(AVERAGE(E349,G349)=H349,"COINCIDE",IF(G349=H349,"INCONGRUENTE",IF(H349=7,"COINCIDE","DISTINTO")))</f>
        <v>COINCIDE</v>
      </c>
    </row>
    <row r="350" spans="1:9" ht="15.75" customHeight="1">
      <c r="A350" s="6">
        <v>700042100</v>
      </c>
      <c r="B350" s="6">
        <v>7050312</v>
      </c>
      <c r="C350" s="6" t="s">
        <v>9</v>
      </c>
      <c r="D350" s="23">
        <v>0.32800000000000001</v>
      </c>
      <c r="E350" s="6">
        <f>IF(D350&lt;=4,1,IF(D350&lt;=10,2,IF(D350&lt;=20,3,IF(D350&lt;=40,4,IF(D350&lt;=80,5,6)))))</f>
        <v>1</v>
      </c>
      <c r="F350" s="23">
        <v>0.53800000000000003</v>
      </c>
      <c r="G350" s="68">
        <f>IF(F350&lt;=4,1,IF(F350&lt;=10,2,IF(F350&lt;=20,3,IF(F350&lt;=40,4,IF(F350&lt;=80,5,6)))))</f>
        <v>1</v>
      </c>
      <c r="H350" s="6">
        <v>1</v>
      </c>
      <c r="I350" s="6" t="str">
        <f>IF(AVERAGE(E350,G350)=H350,"COINCIDE",IF(G350=H350,"INCONGRUENTE","DISTINTO"))</f>
        <v>COINCIDE</v>
      </c>
    </row>
    <row r="351" spans="1:9" ht="15.75" customHeight="1">
      <c r="A351" s="9">
        <v>700051300</v>
      </c>
      <c r="B351" s="9">
        <v>7050364</v>
      </c>
      <c r="C351" s="9" t="s">
        <v>13</v>
      </c>
      <c r="D351" s="9">
        <v>3.59</v>
      </c>
      <c r="E351" s="9">
        <f t="shared" ref="E351:E352" si="25">IF(D351&lt;=2,3,IF(D351&lt;=10,5,6))</f>
        <v>5</v>
      </c>
      <c r="F351" s="9">
        <v>9</v>
      </c>
      <c r="G351" s="9">
        <f t="shared" ref="G351:G352" si="26">IF(F351&lt;=2,3,IF(F351&lt;=10,5,6))</f>
        <v>5</v>
      </c>
      <c r="H351" s="9">
        <v>6</v>
      </c>
      <c r="I351" s="9" t="str">
        <f>IF(AVERAGE(E351,G351)=H351,"COINCIDE",IF(G351=H351,"INCONGRUENTE",IF(H351=7,"COINCIDE","DISTINTO")))</f>
        <v>DISTINTO</v>
      </c>
    </row>
    <row r="352" spans="1:9" ht="15.75" customHeight="1">
      <c r="A352" s="5">
        <v>700051700</v>
      </c>
      <c r="B352" s="5">
        <v>7050367</v>
      </c>
      <c r="C352" s="5" t="s">
        <v>13</v>
      </c>
      <c r="D352" s="5">
        <v>21.7</v>
      </c>
      <c r="E352" s="5">
        <f t="shared" si="25"/>
        <v>6</v>
      </c>
      <c r="F352" s="5">
        <v>26</v>
      </c>
      <c r="G352" s="5">
        <f t="shared" si="26"/>
        <v>6</v>
      </c>
      <c r="H352" s="5">
        <v>6</v>
      </c>
      <c r="I352" s="5" t="str">
        <f>IF(AVERAGE(E352,G352)=H352,"COINCIDE",IF(G352=H352,"INCONGRUENTE",IF(H352=7,"COINCIDE","DISTINTO")))</f>
        <v>COINCIDE</v>
      </c>
    </row>
    <row r="353" spans="1:9" ht="15.75" customHeight="1">
      <c r="A353" s="32">
        <v>700053100</v>
      </c>
      <c r="B353" s="32">
        <v>7050376</v>
      </c>
      <c r="C353" s="32" t="s">
        <v>9</v>
      </c>
      <c r="D353" s="32">
        <v>8.34</v>
      </c>
      <c r="E353" s="32">
        <f>IF(D353&lt;=4,1,IF(D353&lt;=10,2,IF(D353&lt;=20,3,IF(D353&lt;=40,4,IF(D353&lt;=80,5,6)))))</f>
        <v>2</v>
      </c>
      <c r="F353" s="32">
        <v>10</v>
      </c>
      <c r="G353" s="32">
        <f>IF(F353&lt;=4,1,IF(F353&lt;=10,2,IF(F353&lt;=20,3,IF(F353&lt;=40,4,IF(F353&lt;=80,5,6)))))</f>
        <v>2</v>
      </c>
      <c r="H353" s="32">
        <v>3</v>
      </c>
      <c r="I353" s="32" t="str">
        <f>IF(AVERAGE(E353,G353)=H353,"COINCIDE",IF(G353=H353,"INCONGRUENTE",IF(H353=7,"COINCIDE","DISTINTO")))</f>
        <v>DISTINTO</v>
      </c>
    </row>
    <row r="354" spans="1:9" ht="15.75" customHeight="1">
      <c r="A354" s="68">
        <v>700055700</v>
      </c>
      <c r="B354" s="68">
        <v>7050399</v>
      </c>
      <c r="C354" s="12" t="s">
        <v>9</v>
      </c>
      <c r="D354" s="69">
        <v>29.3</v>
      </c>
      <c r="E354" s="5">
        <f>IF(D354&lt;=2,3,IF(D354&lt;=40,4,IF(D354&lt;=80,5,6)))</f>
        <v>4</v>
      </c>
      <c r="F354" s="69">
        <v>37</v>
      </c>
      <c r="G354" s="5">
        <f>IF(F354&lt;=2,3,IF(F354&lt;=40,4,IF(F354&lt;=80,5,6)))</f>
        <v>4</v>
      </c>
      <c r="H354" s="68">
        <v>4</v>
      </c>
      <c r="I354" s="5" t="str">
        <f>IF(AVERAGE(E354,G354)=H354,"COINCIDE",IF(G354=H354,"INCONGRUENTE",IF(H354=7,"COINCIDE","DISTINTO")))</f>
        <v>COINCIDE</v>
      </c>
    </row>
    <row r="355" spans="1:9" ht="15.75" customHeight="1">
      <c r="A355" s="5">
        <v>700056000</v>
      </c>
      <c r="B355" s="5">
        <v>7050402</v>
      </c>
      <c r="C355" s="5" t="s">
        <v>9</v>
      </c>
      <c r="D355" s="5">
        <v>26.6</v>
      </c>
      <c r="E355" s="5">
        <f t="shared" ref="E355:E365" si="27">IF(D355&lt;=4,1,IF(D355&lt;=10,2,IF(D355&lt;=20,3,IF(D355&lt;=40,4,IF(D355&lt;=80,5,6)))))</f>
        <v>4</v>
      </c>
      <c r="F355" s="5">
        <v>31</v>
      </c>
      <c r="G355" s="5">
        <f t="shared" ref="G355:G365" si="28">IF(F355&lt;=4,1,IF(F355&lt;=10,2,IF(F355&lt;=20,3,IF(F355&lt;=40,4,IF(F355&lt;=80,5,6)))))</f>
        <v>4</v>
      </c>
      <c r="H355" s="5">
        <v>4</v>
      </c>
      <c r="I355" s="5" t="str">
        <f>IF(AVERAGE(E355,G355)=H355,"COINCIDE",IF(G355=H355,"INCONGRUENTE","DISTINTO"))</f>
        <v>COINCIDE</v>
      </c>
    </row>
    <row r="356" spans="1:9" ht="15.75" customHeight="1">
      <c r="A356" s="5">
        <v>700060301</v>
      </c>
      <c r="B356" s="5">
        <v>7050423</v>
      </c>
      <c r="C356" s="5" t="s">
        <v>9</v>
      </c>
      <c r="D356" s="5">
        <v>6.77</v>
      </c>
      <c r="E356" s="5">
        <f t="shared" si="27"/>
        <v>2</v>
      </c>
      <c r="F356" s="5">
        <v>7</v>
      </c>
      <c r="G356" s="5">
        <f t="shared" si="28"/>
        <v>2</v>
      </c>
      <c r="H356" s="5">
        <v>2</v>
      </c>
      <c r="I356" s="5" t="str">
        <f>IF(AVERAGE(E356,G356)=H356,"COINCIDE",IF(G356=H356,"INCONGRUENTE","DISTINTO"))</f>
        <v>COINCIDE</v>
      </c>
    </row>
    <row r="357" spans="1:9" ht="15.75" customHeight="1">
      <c r="A357" s="9">
        <v>700063100</v>
      </c>
      <c r="B357" s="9">
        <v>7050437</v>
      </c>
      <c r="C357" s="9" t="s">
        <v>9</v>
      </c>
      <c r="D357" s="9">
        <v>17.100000000000001</v>
      </c>
      <c r="E357" s="9">
        <f t="shared" si="27"/>
        <v>3</v>
      </c>
      <c r="F357" s="9">
        <v>20</v>
      </c>
      <c r="G357" s="9">
        <f t="shared" si="28"/>
        <v>3</v>
      </c>
      <c r="H357" s="9">
        <v>4</v>
      </c>
      <c r="I357" s="9" t="str">
        <f>IF(AVERAGE(E357,G357)=H357,"COINCIDE",IF(G357=H357,"INCONGRUENTE",IF(H357=7,"COINCIDE","DISTINTO")))</f>
        <v>DISTINTO</v>
      </c>
    </row>
    <row r="358" spans="1:9" ht="15.75" customHeight="1">
      <c r="A358" s="12">
        <v>700063800</v>
      </c>
      <c r="B358" s="5">
        <v>7050439</v>
      </c>
      <c r="C358" s="5" t="s">
        <v>9</v>
      </c>
      <c r="D358" s="5">
        <v>7.29</v>
      </c>
      <c r="E358" s="5">
        <f t="shared" si="27"/>
        <v>2</v>
      </c>
      <c r="F358" s="5">
        <v>9</v>
      </c>
      <c r="G358" s="5">
        <f t="shared" si="28"/>
        <v>2</v>
      </c>
      <c r="H358" s="5">
        <v>2</v>
      </c>
      <c r="I358" s="5" t="str">
        <f>IF(AVERAGE(E358,G358)=H358,"COINCIDE",IF(G358=H358,"INCONGRUENTE","DISTINTO"))</f>
        <v>COINCIDE</v>
      </c>
    </row>
    <row r="359" spans="1:9" ht="15.75" customHeight="1">
      <c r="A359" s="5">
        <v>700064500</v>
      </c>
      <c r="B359" s="5">
        <v>7050442</v>
      </c>
      <c r="C359" s="5" t="s">
        <v>9</v>
      </c>
      <c r="D359" s="5">
        <v>21.7</v>
      </c>
      <c r="E359" s="5">
        <f t="shared" si="27"/>
        <v>4</v>
      </c>
      <c r="F359" s="5">
        <v>32</v>
      </c>
      <c r="G359" s="5">
        <f t="shared" si="28"/>
        <v>4</v>
      </c>
      <c r="H359" s="5">
        <v>4</v>
      </c>
      <c r="I359" s="5" t="str">
        <f>IF(AVERAGE(E359,G359)=H359,"COINCIDE",IF(G359=H359,"INCONGRUENTE","DISTINTO"))</f>
        <v>COINCIDE</v>
      </c>
    </row>
    <row r="360" spans="1:9" ht="15.75" customHeight="1">
      <c r="A360" s="5">
        <v>700065000</v>
      </c>
      <c r="B360" s="5">
        <v>7050444</v>
      </c>
      <c r="C360" s="5" t="s">
        <v>9</v>
      </c>
      <c r="D360" s="5">
        <v>159</v>
      </c>
      <c r="E360" s="5">
        <f t="shared" si="27"/>
        <v>6</v>
      </c>
      <c r="F360" s="5">
        <v>195</v>
      </c>
      <c r="G360" s="5">
        <f t="shared" si="28"/>
        <v>6</v>
      </c>
      <c r="H360" s="5">
        <v>6</v>
      </c>
      <c r="I360" s="5" t="str">
        <f>IF(AVERAGE(E360,G360)=H360,"COINCIDE",IF(G360=H360,"INCONGRUENTE",IF(H360=7,"COINCIDE","DISTINTO")))</f>
        <v>COINCIDE</v>
      </c>
    </row>
    <row r="361" spans="1:9" ht="15.75" customHeight="1">
      <c r="A361" s="5">
        <v>700065700</v>
      </c>
      <c r="B361" s="5">
        <v>7050445</v>
      </c>
      <c r="C361" s="5" t="s">
        <v>9</v>
      </c>
      <c r="D361" s="5">
        <v>40.5</v>
      </c>
      <c r="E361" s="5">
        <f t="shared" si="27"/>
        <v>5</v>
      </c>
      <c r="F361" s="5">
        <v>52</v>
      </c>
      <c r="G361" s="5">
        <f t="shared" si="28"/>
        <v>5</v>
      </c>
      <c r="H361" s="5">
        <v>5</v>
      </c>
      <c r="I361" s="5" t="str">
        <f>IF(AVERAGE(E361,G361)=H361,"COINCIDE",IF(G361=H361,"INCONGRUENTE","DISTINTO"))</f>
        <v>COINCIDE</v>
      </c>
    </row>
    <row r="362" spans="1:9" ht="15.75" customHeight="1">
      <c r="A362" s="9">
        <v>700025800</v>
      </c>
      <c r="B362" s="9">
        <v>7100001</v>
      </c>
      <c r="C362" s="9" t="s">
        <v>9</v>
      </c>
      <c r="D362" s="9">
        <v>2.74</v>
      </c>
      <c r="E362" s="9">
        <f t="shared" si="27"/>
        <v>1</v>
      </c>
      <c r="F362" s="9">
        <v>4</v>
      </c>
      <c r="G362" s="9">
        <f t="shared" si="28"/>
        <v>1</v>
      </c>
      <c r="H362" s="9">
        <v>2</v>
      </c>
      <c r="I362" s="9" t="str">
        <f>IF(AVERAGE(E362,G362)=H362,"COINCIDE",IF(G362=H362,"INCONGRUENTE",IF(H362=7,"COINCIDE","DISTINTO")))</f>
        <v>DISTINTO</v>
      </c>
    </row>
    <row r="363" spans="1:9" ht="15.75" customHeight="1">
      <c r="A363" s="5">
        <v>700065200</v>
      </c>
      <c r="B363" s="5">
        <v>7100005</v>
      </c>
      <c r="C363" s="5" t="s">
        <v>9</v>
      </c>
      <c r="D363" s="5">
        <v>2.2999999999999998</v>
      </c>
      <c r="E363" s="5">
        <f t="shared" si="27"/>
        <v>1</v>
      </c>
      <c r="F363" s="5">
        <v>3</v>
      </c>
      <c r="G363" s="5">
        <f t="shared" si="28"/>
        <v>1</v>
      </c>
      <c r="H363" s="5">
        <v>1</v>
      </c>
      <c r="I363" s="5" t="str">
        <f>IF(AVERAGE(E363,G363)=H363,"COINCIDE",IF(G363=H363,"INCONGRUENTE","DISTINTO"))</f>
        <v>COINCIDE</v>
      </c>
    </row>
    <row r="364" spans="1:9" ht="15" customHeight="1" thickBot="1">
      <c r="A364" s="5">
        <v>700081900</v>
      </c>
      <c r="B364" s="5">
        <v>7100013</v>
      </c>
      <c r="C364" s="5" t="s">
        <v>9</v>
      </c>
      <c r="D364" s="5">
        <v>6.84</v>
      </c>
      <c r="E364" s="5">
        <f t="shared" si="27"/>
        <v>2</v>
      </c>
      <c r="F364" s="5">
        <v>9</v>
      </c>
      <c r="G364" s="42">
        <f t="shared" si="28"/>
        <v>2</v>
      </c>
      <c r="H364" s="5">
        <v>2</v>
      </c>
      <c r="I364" s="5" t="str">
        <f>IF(AVERAGE(E364,G364)=H364,"COINCIDE",IF(G364=H364,"INCONGRUENTE","DISTINTO"))</f>
        <v>COINCIDE</v>
      </c>
    </row>
    <row r="365" spans="1:9" ht="15.75" customHeight="1" thickTop="1" thickBot="1">
      <c r="A365" s="10">
        <v>700082300</v>
      </c>
      <c r="B365" s="10">
        <v>7100017</v>
      </c>
      <c r="C365" s="10" t="s">
        <v>9</v>
      </c>
      <c r="D365" s="10">
        <v>6.14</v>
      </c>
      <c r="E365" s="5">
        <f t="shared" si="27"/>
        <v>2</v>
      </c>
      <c r="F365" s="10">
        <v>9</v>
      </c>
      <c r="G365" s="5">
        <f t="shared" si="28"/>
        <v>2</v>
      </c>
      <c r="H365" s="10">
        <v>2</v>
      </c>
      <c r="I365" s="5" t="str">
        <f>IF(AVERAGE(E365,G365)=H365,"COINCIDE",IF(G365=H365,"INCONGRUENTE","DISTINTO"))</f>
        <v>COINCIDE</v>
      </c>
    </row>
    <row r="366" spans="1:9" ht="15.75" customHeight="1" thickTop="1">
      <c r="A366" s="70">
        <v>700066602</v>
      </c>
      <c r="B366" s="70">
        <v>7100064</v>
      </c>
      <c r="C366" s="70" t="s">
        <v>13</v>
      </c>
      <c r="D366" s="71">
        <v>0.34</v>
      </c>
      <c r="E366" s="70">
        <f>IF(D366&lt;=2,3,IF(D366&lt;=10,5,6))</f>
        <v>3</v>
      </c>
      <c r="F366" s="71">
        <v>0.3</v>
      </c>
      <c r="G366" s="70">
        <f>IF(F366&lt;=2,3,IF(F366&lt;=10,5,6))</f>
        <v>3</v>
      </c>
      <c r="H366" s="70">
        <v>3</v>
      </c>
      <c r="I366" s="70" t="str">
        <f>IF(AVERAGE(E366,G366)=H366,"COINCIDE",IF(G366=H366,"INCONGRUENTE",IF(H366=7,"COINCIDE","DISTINTO")))</f>
        <v>COINCIDE</v>
      </c>
    </row>
    <row r="367" spans="1:9" ht="15.75" customHeight="1">
      <c r="A367" s="12">
        <v>700069800</v>
      </c>
      <c r="B367" s="5">
        <v>7100067</v>
      </c>
      <c r="C367" s="5" t="s">
        <v>9</v>
      </c>
      <c r="D367" s="5">
        <v>4.18</v>
      </c>
      <c r="E367" s="5">
        <f t="shared" ref="E367:E387" si="29">IF(D367&lt;=4,1,IF(D367&lt;=10,2,IF(D367&lt;=20,3,IF(D367&lt;=40,4,IF(D367&lt;=80,5,6)))))</f>
        <v>2</v>
      </c>
      <c r="F367" s="5">
        <v>5</v>
      </c>
      <c r="G367" s="5">
        <f t="shared" ref="G367:G387" si="30">IF(F367&lt;=4,1,IF(F367&lt;=10,2,IF(F367&lt;=20,3,IF(F367&lt;=40,4,IF(F367&lt;=80,5,6)))))</f>
        <v>2</v>
      </c>
      <c r="H367" s="5">
        <v>2</v>
      </c>
      <c r="I367" s="5" t="str">
        <f>IF(AVERAGE(E367,G367)=H367,"COINCIDE",IF(G367=H367,"INCONGRUENTE","DISTINTO"))</f>
        <v>COINCIDE</v>
      </c>
    </row>
    <row r="368" spans="1:9" ht="15.75" customHeight="1">
      <c r="A368" s="5">
        <v>700069801</v>
      </c>
      <c r="B368" s="5">
        <v>7100068</v>
      </c>
      <c r="C368" s="5" t="s">
        <v>9</v>
      </c>
      <c r="D368" s="5">
        <v>1.78</v>
      </c>
      <c r="E368" s="5">
        <f t="shared" si="29"/>
        <v>1</v>
      </c>
      <c r="F368" s="5">
        <v>2</v>
      </c>
      <c r="G368" s="5">
        <f t="shared" si="30"/>
        <v>1</v>
      </c>
      <c r="H368" s="5">
        <v>1</v>
      </c>
      <c r="I368" s="5" t="str">
        <f>IF(AVERAGE(E368,G368)=H368,"COINCIDE",IF(G368=H368,"INCONGRUENTE","DISTINTO"))</f>
        <v>COINCIDE</v>
      </c>
    </row>
    <row r="369" spans="1:9" ht="16.5" customHeight="1">
      <c r="A369" s="5">
        <v>700075000</v>
      </c>
      <c r="B369" s="5">
        <v>7100076</v>
      </c>
      <c r="C369" s="5" t="s">
        <v>9</v>
      </c>
      <c r="D369" s="5">
        <v>4.45</v>
      </c>
      <c r="E369" s="5">
        <f t="shared" si="29"/>
        <v>2</v>
      </c>
      <c r="F369" s="5">
        <v>6</v>
      </c>
      <c r="G369" s="5">
        <f t="shared" si="30"/>
        <v>2</v>
      </c>
      <c r="H369" s="5">
        <v>2</v>
      </c>
      <c r="I369" s="5" t="str">
        <f>IF(AVERAGE(E369,G369)=H369,"COINCIDE",IF(G369=H369,"INCONGRUENTE","DISTINTO"))</f>
        <v>COINCIDE</v>
      </c>
    </row>
    <row r="370" spans="1:9" ht="15.75" customHeight="1">
      <c r="A370" s="42">
        <v>700062600</v>
      </c>
      <c r="B370" s="42">
        <v>7100099</v>
      </c>
      <c r="C370" s="42" t="s">
        <v>9</v>
      </c>
      <c r="D370" s="42">
        <v>2.68</v>
      </c>
      <c r="E370" s="42">
        <f t="shared" si="29"/>
        <v>1</v>
      </c>
      <c r="F370" s="42">
        <v>3</v>
      </c>
      <c r="G370" s="42">
        <f t="shared" si="30"/>
        <v>1</v>
      </c>
      <c r="H370" s="42">
        <v>1</v>
      </c>
      <c r="I370" s="42" t="str">
        <f>IF(AVERAGE(E370,G370)=H370,"COINCIDE",IF(G370=H370,"INCONGRUENTE","DISTINTO"))</f>
        <v>COINCIDE</v>
      </c>
    </row>
    <row r="371" spans="1:9" ht="15.75" customHeight="1">
      <c r="A371" s="5">
        <v>700031000</v>
      </c>
      <c r="B371" s="5">
        <v>7100101</v>
      </c>
      <c r="C371" s="5" t="s">
        <v>9</v>
      </c>
      <c r="D371" s="5">
        <v>5.56</v>
      </c>
      <c r="E371" s="5">
        <f t="shared" si="29"/>
        <v>2</v>
      </c>
      <c r="F371" s="5">
        <v>7</v>
      </c>
      <c r="G371" s="5">
        <f t="shared" si="30"/>
        <v>2</v>
      </c>
      <c r="H371" s="5">
        <v>2</v>
      </c>
      <c r="I371" s="5" t="str">
        <f>IF(AVERAGE(E371,G371)=H371,"COINCIDE",IF(G371=H371,"INCONGRUENTE","DISTINTO"))</f>
        <v>COINCIDE</v>
      </c>
    </row>
    <row r="372" spans="1:9" ht="15.75" customHeight="1">
      <c r="A372" s="9">
        <v>700070200</v>
      </c>
      <c r="B372" s="9">
        <v>7100106</v>
      </c>
      <c r="C372" s="9" t="s">
        <v>9</v>
      </c>
      <c r="D372" s="9">
        <v>14.9</v>
      </c>
      <c r="E372" s="9">
        <f t="shared" si="29"/>
        <v>3</v>
      </c>
      <c r="F372" s="9">
        <v>20</v>
      </c>
      <c r="G372" s="9">
        <f t="shared" si="30"/>
        <v>3</v>
      </c>
      <c r="H372" s="18">
        <v>4</v>
      </c>
      <c r="I372" s="9" t="str">
        <f>IF(AVERAGE(E372,G372)=H372,"COINCIDE",IF(G372=H372,"INCONGRUENTE",IF(H372=7,"COINCIDE","DISTINTO")))</f>
        <v>DISTINTO</v>
      </c>
    </row>
    <row r="373" spans="1:9" ht="15.75" customHeight="1">
      <c r="A373" s="9">
        <v>700081600</v>
      </c>
      <c r="B373" s="9">
        <v>7100111</v>
      </c>
      <c r="C373" s="9" t="s">
        <v>9</v>
      </c>
      <c r="D373" s="9">
        <v>14.9</v>
      </c>
      <c r="E373" s="9">
        <f t="shared" si="29"/>
        <v>3</v>
      </c>
      <c r="F373" s="9">
        <v>20</v>
      </c>
      <c r="G373" s="9">
        <f t="shared" si="30"/>
        <v>3</v>
      </c>
      <c r="H373" s="9">
        <v>4</v>
      </c>
      <c r="I373" s="9" t="str">
        <f>IF(AVERAGE(E373,G373)=H373,"COINCIDE",IF(G373=H373,"INCONGRUENTE",IF(H373=7,"COINCIDE","DISTINTO")))</f>
        <v>DISTINTO</v>
      </c>
    </row>
    <row r="374" spans="1:9" ht="15.75" customHeight="1">
      <c r="A374" s="5" t="s">
        <v>15</v>
      </c>
      <c r="B374" s="5" t="s">
        <v>16</v>
      </c>
      <c r="C374" s="5" t="s">
        <v>9</v>
      </c>
      <c r="D374" s="5">
        <v>1.34</v>
      </c>
      <c r="E374" s="5">
        <f t="shared" si="29"/>
        <v>1</v>
      </c>
      <c r="F374" s="5">
        <v>2</v>
      </c>
      <c r="G374" s="5">
        <f t="shared" si="30"/>
        <v>1</v>
      </c>
      <c r="H374" s="5">
        <v>1</v>
      </c>
      <c r="I374" s="5" t="str">
        <f>IF(AVERAGE(E374,G374)=H374,"COINCIDE",IF(G374=H374,"INCONGRUENTE","DISTINTO"))</f>
        <v>COINCIDE</v>
      </c>
    </row>
    <row r="375" spans="1:9" ht="15.75" customHeight="1">
      <c r="A375" s="5">
        <v>700084100</v>
      </c>
      <c r="B375" s="5" t="s">
        <v>17</v>
      </c>
      <c r="C375" s="5" t="s">
        <v>9</v>
      </c>
      <c r="D375" s="5">
        <v>12.9</v>
      </c>
      <c r="E375" s="5">
        <f t="shared" si="29"/>
        <v>3</v>
      </c>
      <c r="F375" s="5">
        <v>16</v>
      </c>
      <c r="G375" s="5">
        <f t="shared" si="30"/>
        <v>3</v>
      </c>
      <c r="H375" s="5">
        <v>3</v>
      </c>
      <c r="I375" s="5" t="str">
        <f>IF(AVERAGE(E375,G375)=H375,"COINCIDE",IF(G375=H375,"INCONGRUENTE","DISTINTO"))</f>
        <v>COINCIDE</v>
      </c>
    </row>
    <row r="376" spans="1:9" ht="15.75" customHeight="1">
      <c r="A376" s="72" t="s">
        <v>18</v>
      </c>
      <c r="B376" s="72" t="s">
        <v>19</v>
      </c>
      <c r="C376" s="72" t="s">
        <v>9</v>
      </c>
      <c r="D376" s="72">
        <v>16</v>
      </c>
      <c r="E376" s="72">
        <f t="shared" si="29"/>
        <v>3</v>
      </c>
      <c r="F376" s="72">
        <v>21</v>
      </c>
      <c r="G376" s="72">
        <f t="shared" si="30"/>
        <v>4</v>
      </c>
      <c r="H376" s="72">
        <v>4</v>
      </c>
      <c r="I376" s="72" t="str">
        <f>IF(AVERAGE(E376,G376)=H376,"COINCIDE",IF(G376=H376,"INCONGRUENTE","DISTINTO"))</f>
        <v>INCONGRUENTE</v>
      </c>
    </row>
    <row r="377" spans="1:9" ht="15.75" customHeight="1">
      <c r="A377" s="5" t="s">
        <v>20</v>
      </c>
      <c r="B377" s="5" t="s">
        <v>21</v>
      </c>
      <c r="C377" s="5" t="s">
        <v>9</v>
      </c>
      <c r="D377" s="5">
        <v>11.4</v>
      </c>
      <c r="E377" s="5">
        <f t="shared" si="29"/>
        <v>3</v>
      </c>
      <c r="F377" s="5">
        <v>13</v>
      </c>
      <c r="G377" s="5">
        <f t="shared" si="30"/>
        <v>3</v>
      </c>
      <c r="H377" s="5">
        <v>3</v>
      </c>
      <c r="I377" s="5" t="str">
        <f>IF(AVERAGE(E377,G377)=H377,"COINCIDE",IF(G377=H377,"INCONGRUENTE","DISTINTO"))</f>
        <v>COINCIDE</v>
      </c>
    </row>
    <row r="378" spans="1:9" ht="15.75" customHeight="1">
      <c r="A378" s="26">
        <v>700087700</v>
      </c>
      <c r="B378" s="26" t="s">
        <v>22</v>
      </c>
      <c r="C378" s="26" t="s">
        <v>9</v>
      </c>
      <c r="D378" s="26">
        <v>14.8</v>
      </c>
      <c r="E378" s="26">
        <f t="shared" si="29"/>
        <v>3</v>
      </c>
      <c r="F378" s="26">
        <v>20</v>
      </c>
      <c r="G378" s="26">
        <f t="shared" si="30"/>
        <v>3</v>
      </c>
      <c r="H378" s="27">
        <v>3</v>
      </c>
      <c r="I378" s="26" t="str">
        <f>IF(AVERAGE(E378,G378)=H378,"COINCIDE",IF(G378=H378,"INCONGRUENTE",IF(H378=7,"COINCIDE","DISTINTO")))</f>
        <v>COINCIDE</v>
      </c>
    </row>
    <row r="379" spans="1:9" ht="15.75" customHeight="1">
      <c r="A379" s="9">
        <v>700049400</v>
      </c>
      <c r="B379" s="9" t="s">
        <v>23</v>
      </c>
      <c r="C379" s="9" t="s">
        <v>9</v>
      </c>
      <c r="D379" s="9">
        <v>14.1</v>
      </c>
      <c r="E379" s="9">
        <f t="shared" si="29"/>
        <v>3</v>
      </c>
      <c r="F379" s="9">
        <v>19</v>
      </c>
      <c r="G379" s="9">
        <f t="shared" si="30"/>
        <v>3</v>
      </c>
      <c r="H379" s="9">
        <v>4</v>
      </c>
      <c r="I379" s="9" t="str">
        <f>IF(AVERAGE(E379,G379)=H379,"COINCIDE",IF(G379=H379,"INCONGRUENTE",IF(H379=7,"COINCIDE","DISTINTO")))</f>
        <v>DISTINTO</v>
      </c>
    </row>
    <row r="380" spans="1:9" ht="15.75" customHeight="1">
      <c r="A380" s="11">
        <v>700014700</v>
      </c>
      <c r="B380" s="11" t="s">
        <v>24</v>
      </c>
      <c r="C380" s="11" t="s">
        <v>9</v>
      </c>
      <c r="D380" s="11">
        <v>18.100000000000001</v>
      </c>
      <c r="E380" s="11">
        <f t="shared" si="29"/>
        <v>3</v>
      </c>
      <c r="F380" s="11">
        <v>25</v>
      </c>
      <c r="G380" s="11">
        <f t="shared" si="30"/>
        <v>4</v>
      </c>
      <c r="H380" s="11">
        <v>4</v>
      </c>
      <c r="I380" s="11" t="str">
        <f>IF(AVERAGE(E380,G380)=H380,"COINCIDE",IF(G380=H380,"INCONGRUENTE","DISTINTO"))</f>
        <v>INCONGRUENTE</v>
      </c>
    </row>
    <row r="381" spans="1:9" ht="15.75" customHeight="1">
      <c r="A381" s="5">
        <v>700015000</v>
      </c>
      <c r="B381" s="5" t="s">
        <v>25</v>
      </c>
      <c r="C381" s="5" t="s">
        <v>9</v>
      </c>
      <c r="D381" s="5">
        <v>22.7</v>
      </c>
      <c r="E381" s="5">
        <f t="shared" si="29"/>
        <v>4</v>
      </c>
      <c r="F381" s="5">
        <v>33</v>
      </c>
      <c r="G381" s="5">
        <f t="shared" si="30"/>
        <v>4</v>
      </c>
      <c r="H381" s="5">
        <v>4</v>
      </c>
      <c r="I381" s="5" t="str">
        <f>IF(AVERAGE(E381,G381)=H381,"COINCIDE",IF(G381=H381,"INCONGRUENTE","DISTINTO"))</f>
        <v>COINCIDE</v>
      </c>
    </row>
    <row r="382" spans="1:9" ht="15.75" customHeight="1">
      <c r="A382" s="11">
        <v>700015200</v>
      </c>
      <c r="B382" s="11" t="s">
        <v>26</v>
      </c>
      <c r="C382" s="11" t="s">
        <v>9</v>
      </c>
      <c r="D382" s="11">
        <v>13.9</v>
      </c>
      <c r="E382" s="11">
        <f t="shared" si="29"/>
        <v>3</v>
      </c>
      <c r="F382" s="11">
        <v>21</v>
      </c>
      <c r="G382" s="11">
        <f t="shared" si="30"/>
        <v>4</v>
      </c>
      <c r="H382" s="11">
        <v>4</v>
      </c>
      <c r="I382" s="11" t="str">
        <f>IF(AVERAGE(E382,G382)=H382,"COINCIDE",IF(G382=H382,"INCONGRUENTE","DISTINTO"))</f>
        <v>INCONGRUENTE</v>
      </c>
    </row>
    <row r="383" spans="1:9" ht="15.75" customHeight="1">
      <c r="A383" s="5">
        <v>700056900</v>
      </c>
      <c r="B383" s="5" t="s">
        <v>27</v>
      </c>
      <c r="C383" s="5" t="s">
        <v>9</v>
      </c>
      <c r="D383" s="5">
        <v>90</v>
      </c>
      <c r="E383" s="5">
        <f t="shared" si="29"/>
        <v>6</v>
      </c>
      <c r="F383" s="5">
        <v>211</v>
      </c>
      <c r="G383" s="5">
        <f t="shared" si="30"/>
        <v>6</v>
      </c>
      <c r="H383" s="5">
        <v>6</v>
      </c>
      <c r="I383" s="5" t="str">
        <f>IF(AVERAGE(E383,G383)=H383,"COINCIDE",IF(G383=H383,"INCONGRUENTE","DISTINTO"))</f>
        <v>COINCIDE</v>
      </c>
    </row>
    <row r="384" spans="1:9" ht="15.75" customHeight="1">
      <c r="A384" s="6">
        <v>700032100</v>
      </c>
      <c r="B384" s="6" t="s">
        <v>28</v>
      </c>
      <c r="C384" s="6" t="s">
        <v>9</v>
      </c>
      <c r="D384" s="6">
        <v>88.2</v>
      </c>
      <c r="E384" s="5">
        <f t="shared" si="29"/>
        <v>6</v>
      </c>
      <c r="F384" s="6">
        <v>184</v>
      </c>
      <c r="G384" s="5">
        <f t="shared" si="30"/>
        <v>6</v>
      </c>
      <c r="H384" s="6">
        <v>6</v>
      </c>
      <c r="I384" s="5" t="str">
        <f>IF(AVERAGE(E384,G384)=H384,"COINCIDE",IF(G384=H384,"INCONGRUENTE","DISTINTO"))</f>
        <v>COINCIDE</v>
      </c>
    </row>
    <row r="385" spans="1:9" ht="15.75" customHeight="1">
      <c r="A385" s="73">
        <v>700089900</v>
      </c>
      <c r="B385" s="73" t="s">
        <v>29</v>
      </c>
      <c r="C385" s="73" t="s">
        <v>9</v>
      </c>
      <c r="D385" s="74">
        <v>3.52</v>
      </c>
      <c r="E385" s="73">
        <f t="shared" si="29"/>
        <v>1</v>
      </c>
      <c r="F385" s="73">
        <v>5</v>
      </c>
      <c r="G385" s="73">
        <f t="shared" si="30"/>
        <v>2</v>
      </c>
      <c r="H385" s="74">
        <v>2</v>
      </c>
      <c r="I385" s="73" t="str">
        <f>IF(AVERAGE(E385,G385)=H385,"COINCIDE",IF(G385=H385,"INCONGRUENTE",IF(H385=7,"COINCIDE","DISTINTO")))</f>
        <v>INCONGRUENTE</v>
      </c>
    </row>
    <row r="386" spans="1:9" ht="15.75" customHeight="1">
      <c r="A386" s="5">
        <v>700044100</v>
      </c>
      <c r="B386" s="5" t="s">
        <v>30</v>
      </c>
      <c r="C386" s="5" t="s">
        <v>9</v>
      </c>
      <c r="D386" s="5">
        <v>0.49</v>
      </c>
      <c r="E386" s="5">
        <f t="shared" si="29"/>
        <v>1</v>
      </c>
      <c r="F386" s="5">
        <v>0.98</v>
      </c>
      <c r="G386" s="5">
        <f t="shared" si="30"/>
        <v>1</v>
      </c>
      <c r="H386" s="5">
        <v>1</v>
      </c>
      <c r="I386" s="5" t="str">
        <f>IF(AVERAGE(E386,G386)=H386,"COINCIDE",IF(G386=H386,"INCONGRUENTE","DISTINTO"))</f>
        <v>COINCIDE</v>
      </c>
    </row>
    <row r="387" spans="1:9" ht="15.75" customHeight="1">
      <c r="A387" s="76">
        <v>700068100</v>
      </c>
      <c r="B387" s="75" t="s">
        <v>31</v>
      </c>
      <c r="C387" s="75" t="s">
        <v>9</v>
      </c>
      <c r="D387" s="75">
        <v>0.76</v>
      </c>
      <c r="E387" s="77">
        <f t="shared" si="29"/>
        <v>1</v>
      </c>
      <c r="F387" s="75">
        <v>1</v>
      </c>
      <c r="G387" s="77">
        <f t="shared" si="30"/>
        <v>1</v>
      </c>
      <c r="H387" s="75">
        <v>1</v>
      </c>
      <c r="I387" s="77" t="str">
        <f>IF(AVERAGE(E387,G387)=H387,"COINCIDE",IF(G387=H387,"INCONGRUENTE","DISTINTO"))</f>
        <v>COINCIDE</v>
      </c>
    </row>
    <row r="388" spans="1:9" ht="15.75" customHeight="1">
      <c r="A388" s="5">
        <v>700089000</v>
      </c>
      <c r="B388" s="5" t="s">
        <v>32</v>
      </c>
      <c r="C388" s="12" t="s">
        <v>9</v>
      </c>
      <c r="D388" s="12">
        <v>28.3</v>
      </c>
      <c r="E388" s="5">
        <f t="shared" ref="E388:E391" si="31">IF(D388&lt;=2,3,IF(D388&lt;=40,4,IF(D388&lt;=80,5,6)))</f>
        <v>4</v>
      </c>
      <c r="F388" s="12">
        <v>32</v>
      </c>
      <c r="G388" s="5">
        <f t="shared" ref="G388:G391" si="32">IF(F388&lt;=2,3,IF(F388&lt;=40,4,IF(F388&lt;=80,5,6)))</f>
        <v>4</v>
      </c>
      <c r="H388" s="5">
        <v>4</v>
      </c>
      <c r="I388" s="5" t="str">
        <f>IF(AVERAGE(E388,G388)=H388,"COINCIDE",IF(G388=H388,"INCONGRUENTE",IF(H388=7,"COINCIDE","DISTINTO")))</f>
        <v>COINCIDE</v>
      </c>
    </row>
    <row r="389" spans="1:9" ht="15.75" customHeight="1">
      <c r="A389" s="78">
        <v>700021702</v>
      </c>
      <c r="B389" s="78" t="s">
        <v>33</v>
      </c>
      <c r="C389" s="79" t="s">
        <v>9</v>
      </c>
      <c r="D389" s="78">
        <v>55.2</v>
      </c>
      <c r="E389" s="80">
        <f t="shared" si="31"/>
        <v>5</v>
      </c>
      <c r="F389" s="78">
        <v>100</v>
      </c>
      <c r="G389" s="80">
        <f t="shared" si="32"/>
        <v>6</v>
      </c>
      <c r="H389" s="78">
        <v>6</v>
      </c>
      <c r="I389" s="80" t="str">
        <f>IF(AVERAGE(E389,G389)=H389,"COINCIDE",IF(G389=H389,"INCONGRUENTE",IF(H389=7,"COINCIDE","DISTINTO")))</f>
        <v>INCONGRUENTE</v>
      </c>
    </row>
    <row r="390" spans="1:9" ht="15.75" customHeight="1">
      <c r="A390" s="22">
        <v>700039900</v>
      </c>
      <c r="B390" s="22" t="s">
        <v>34</v>
      </c>
      <c r="C390" s="22" t="s">
        <v>12</v>
      </c>
      <c r="D390" s="22">
        <v>0.45700000000000002</v>
      </c>
      <c r="E390" s="22">
        <f t="shared" si="31"/>
        <v>3</v>
      </c>
      <c r="F390" s="22">
        <v>0.74</v>
      </c>
      <c r="G390" s="22">
        <f t="shared" si="32"/>
        <v>3</v>
      </c>
      <c r="H390" s="22">
        <v>3</v>
      </c>
      <c r="I390" s="22" t="str">
        <f>IF(AVERAGE(E390,G390)=H390,"COINCIDE",IF(G390=H390,"INCONGRUENTE",IF(H390=7,"COINCIDE","DISTINTO")))</f>
        <v>COINCIDE</v>
      </c>
    </row>
    <row r="391" spans="1:9" ht="15.75" customHeight="1">
      <c r="A391" s="5">
        <v>700088400</v>
      </c>
      <c r="B391" s="5" t="s">
        <v>35</v>
      </c>
      <c r="C391" s="12" t="s">
        <v>9</v>
      </c>
      <c r="D391" s="12">
        <v>28.2</v>
      </c>
      <c r="E391" s="5">
        <f t="shared" si="31"/>
        <v>4</v>
      </c>
      <c r="F391" s="12">
        <v>32</v>
      </c>
      <c r="G391" s="5">
        <f t="shared" si="32"/>
        <v>4</v>
      </c>
      <c r="H391" s="5">
        <v>4</v>
      </c>
      <c r="I391" s="5" t="str">
        <f>IF(AVERAGE(E391,G391)=H391,"COINCIDE",IF(G391=H391,"INCONGRUENTE",IF(H391=7,"COINCIDE","DISTINTO")))</f>
        <v>COINCIDE</v>
      </c>
    </row>
    <row r="392" spans="1:9" ht="15.75" customHeight="1">
      <c r="A392" s="5">
        <v>700100900</v>
      </c>
      <c r="B392" s="5" t="s">
        <v>36</v>
      </c>
      <c r="C392" s="5" t="s">
        <v>9</v>
      </c>
      <c r="D392" s="5">
        <v>6.02</v>
      </c>
      <c r="E392" s="5">
        <f t="shared" ref="E392:E403" si="33">IF(D392&lt;=4,1,IF(D392&lt;=10,2,IF(D392&lt;=20,3,IF(D392&lt;=40,4,IF(D392&lt;=80,5,6)))))</f>
        <v>2</v>
      </c>
      <c r="F392" s="5">
        <v>8</v>
      </c>
      <c r="G392" s="5">
        <f t="shared" ref="G392:G403" si="34">IF(F392&lt;=4,1,IF(F392&lt;=10,2,IF(F392&lt;=20,3,IF(F392&lt;=40,4,IF(F392&lt;=80,5,6)))))</f>
        <v>2</v>
      </c>
      <c r="H392" s="5">
        <v>2</v>
      </c>
      <c r="I392" s="5" t="str">
        <f>IF(AVERAGE(E392,G392)=H392,"COINCIDE",IF(G392=H392,"INCONGRUENTE","DISTINTO"))</f>
        <v>COINCIDE</v>
      </c>
    </row>
    <row r="393" spans="1:9" ht="15.75" customHeight="1">
      <c r="A393" s="82">
        <v>700107300</v>
      </c>
      <c r="B393" s="81" t="s">
        <v>37</v>
      </c>
      <c r="C393" s="81" t="s">
        <v>9</v>
      </c>
      <c r="D393" s="81">
        <v>6.72</v>
      </c>
      <c r="E393" s="81">
        <f t="shared" si="33"/>
        <v>2</v>
      </c>
      <c r="F393" s="81">
        <v>9</v>
      </c>
      <c r="G393" s="81">
        <f t="shared" si="34"/>
        <v>2</v>
      </c>
      <c r="H393" s="81">
        <v>3</v>
      </c>
      <c r="I393" s="81" t="str">
        <f>IF(AVERAGE(E393,G393)=H393,"COINCIDE",IF(G393=H393,"INCONGRUENTE",IF(H393=7,"COINCIDE","DISTINTO")))</f>
        <v>DISTINTO</v>
      </c>
    </row>
    <row r="394" spans="1:9" ht="15.75" customHeight="1">
      <c r="A394" s="5">
        <v>700059300</v>
      </c>
      <c r="B394" s="5" t="s">
        <v>38</v>
      </c>
      <c r="C394" s="5" t="s">
        <v>9</v>
      </c>
      <c r="D394" s="5">
        <v>3.15</v>
      </c>
      <c r="E394" s="5">
        <f t="shared" si="33"/>
        <v>1</v>
      </c>
      <c r="F394" s="5">
        <v>4</v>
      </c>
      <c r="G394" s="5">
        <f t="shared" si="34"/>
        <v>1</v>
      </c>
      <c r="H394" s="5">
        <v>1</v>
      </c>
      <c r="I394" s="5" t="str">
        <f>IF(AVERAGE(E394,G394)=H394,"COINCIDE",IF(G394=H394,"INCONGRUENTE","DISTINTO"))</f>
        <v>COINCIDE</v>
      </c>
    </row>
    <row r="395" spans="1:9" ht="15.75" customHeight="1">
      <c r="A395" s="9">
        <v>700058900</v>
      </c>
      <c r="B395" s="9" t="s">
        <v>39</v>
      </c>
      <c r="C395" s="9" t="s">
        <v>9</v>
      </c>
      <c r="D395" s="9">
        <v>5.01</v>
      </c>
      <c r="E395" s="9">
        <f t="shared" si="33"/>
        <v>2</v>
      </c>
      <c r="F395" s="9">
        <v>6</v>
      </c>
      <c r="G395" s="9">
        <f t="shared" si="34"/>
        <v>2</v>
      </c>
      <c r="H395" s="9">
        <v>3</v>
      </c>
      <c r="I395" s="9" t="str">
        <f>IF(AVERAGE(E395,G395)=H395,"COINCIDE",IF(G395=H395,"INCONGRUENTE",IF(H395=7,"COINCIDE","DISTINTO")))</f>
        <v>DISTINTO</v>
      </c>
    </row>
    <row r="396" spans="1:9" ht="15.75" customHeight="1">
      <c r="A396" s="12">
        <v>700110400</v>
      </c>
      <c r="B396" s="5" t="s">
        <v>40</v>
      </c>
      <c r="C396" s="5" t="s">
        <v>9</v>
      </c>
      <c r="D396" s="5">
        <v>6.4</v>
      </c>
      <c r="E396" s="5">
        <f t="shared" si="33"/>
        <v>2</v>
      </c>
      <c r="F396" s="5">
        <v>9</v>
      </c>
      <c r="G396" s="5">
        <f t="shared" si="34"/>
        <v>2</v>
      </c>
      <c r="H396" s="5">
        <v>2</v>
      </c>
      <c r="I396" s="5" t="str">
        <f>IF(AVERAGE(E396,G396)=H396,"COINCIDE",IF(G396=H396,"INCONGRUENTE","DISTINTO"))</f>
        <v>COINCIDE</v>
      </c>
    </row>
    <row r="397" spans="1:9" ht="15.75" customHeight="1">
      <c r="A397" s="12">
        <v>700101600</v>
      </c>
      <c r="B397" s="5" t="s">
        <v>41</v>
      </c>
      <c r="C397" s="5" t="s">
        <v>9</v>
      </c>
      <c r="D397" s="5">
        <v>4.3099999999999996</v>
      </c>
      <c r="E397" s="5">
        <f t="shared" si="33"/>
        <v>2</v>
      </c>
      <c r="F397" s="5">
        <v>6</v>
      </c>
      <c r="G397" s="5">
        <f t="shared" si="34"/>
        <v>2</v>
      </c>
      <c r="H397" s="5">
        <v>2</v>
      </c>
      <c r="I397" s="5" t="str">
        <f>IF(AVERAGE(E397,G397)=H397,"COINCIDE",IF(G397=H397,"INCONGRUENTE","DISTINTO"))</f>
        <v>COINCIDE</v>
      </c>
    </row>
    <row r="398" spans="1:9" ht="15.75" customHeight="1">
      <c r="A398" s="25">
        <v>700088500</v>
      </c>
      <c r="B398" s="22" t="s">
        <v>42</v>
      </c>
      <c r="C398" s="22" t="s">
        <v>9</v>
      </c>
      <c r="D398" s="22">
        <v>6.04</v>
      </c>
      <c r="E398" s="22">
        <f t="shared" si="33"/>
        <v>2</v>
      </c>
      <c r="F398" s="22">
        <v>8</v>
      </c>
      <c r="G398" s="22">
        <f t="shared" si="34"/>
        <v>2</v>
      </c>
      <c r="H398" s="22">
        <v>2</v>
      </c>
      <c r="I398" s="22" t="str">
        <f>IF(AVERAGE(E398,G398)=H398,"COINCIDE",IF(G398=H398,"INCONGRUENTE","DISTINTO"))</f>
        <v>COINCIDE</v>
      </c>
    </row>
    <row r="399" spans="1:9" ht="15.75" customHeight="1">
      <c r="A399" s="84">
        <v>700059000</v>
      </c>
      <c r="B399" s="83" t="s">
        <v>43</v>
      </c>
      <c r="C399" s="83" t="s">
        <v>9</v>
      </c>
      <c r="D399" s="83">
        <v>4.1900000000000004</v>
      </c>
      <c r="E399" s="83">
        <f t="shared" si="33"/>
        <v>2</v>
      </c>
      <c r="F399" s="83">
        <v>5</v>
      </c>
      <c r="G399" s="83">
        <f t="shared" si="34"/>
        <v>2</v>
      </c>
      <c r="H399" s="83">
        <v>2</v>
      </c>
      <c r="I399" s="83" t="str">
        <f>IF(AVERAGE(E399,G399)=H399,"COINCIDE",IF(G399=H399,"INCONGRUENTE","DISTINTO"))</f>
        <v>COINCIDE</v>
      </c>
    </row>
    <row r="400" spans="1:9" ht="15.75" customHeight="1">
      <c r="A400" s="5">
        <v>700004000</v>
      </c>
      <c r="B400" s="5" t="s">
        <v>44</v>
      </c>
      <c r="C400" s="5" t="s">
        <v>9</v>
      </c>
      <c r="D400" s="5">
        <v>4.04</v>
      </c>
      <c r="E400" s="5">
        <f t="shared" si="33"/>
        <v>2</v>
      </c>
      <c r="F400" s="5">
        <v>6</v>
      </c>
      <c r="G400" s="42">
        <f t="shared" si="34"/>
        <v>2</v>
      </c>
      <c r="H400" s="5">
        <v>2</v>
      </c>
      <c r="I400" s="5" t="str">
        <f>IF(AVERAGE(E400,G400)=H400,"COINCIDE",IF(G400=H400,"INCONGRUENTE","DISTINTO"))</f>
        <v>COINCIDE</v>
      </c>
    </row>
    <row r="401" spans="1:9" ht="15.75" customHeight="1">
      <c r="A401" s="9">
        <v>700084500</v>
      </c>
      <c r="B401" s="9" t="s">
        <v>45</v>
      </c>
      <c r="C401" s="9" t="s">
        <v>9</v>
      </c>
      <c r="D401" s="9">
        <v>3.34</v>
      </c>
      <c r="E401" s="9">
        <f t="shared" si="33"/>
        <v>1</v>
      </c>
      <c r="F401" s="9">
        <v>4</v>
      </c>
      <c r="G401" s="9">
        <f t="shared" si="34"/>
        <v>1</v>
      </c>
      <c r="H401" s="9">
        <v>2</v>
      </c>
      <c r="I401" s="9" t="str">
        <f>IF(AVERAGE(E401,G401)=H401,"COINCIDE",IF(G401=H401,"INCONGRUENTE",IF(H401=7,"COINCIDE","DISTINTO")))</f>
        <v>DISTINTO</v>
      </c>
    </row>
    <row r="402" spans="1:9" ht="15.75" customHeight="1">
      <c r="A402" s="12">
        <v>700114300</v>
      </c>
      <c r="B402" s="5" t="s">
        <v>46</v>
      </c>
      <c r="C402" s="5" t="s">
        <v>9</v>
      </c>
      <c r="D402" s="5">
        <v>159</v>
      </c>
      <c r="E402" s="5">
        <f t="shared" si="33"/>
        <v>6</v>
      </c>
      <c r="F402" s="5">
        <v>195</v>
      </c>
      <c r="G402" s="5">
        <f t="shared" si="34"/>
        <v>6</v>
      </c>
      <c r="H402" s="5">
        <v>6</v>
      </c>
      <c r="I402" s="5" t="str">
        <f>IF(AVERAGE(E402,G402)=H402,"COINCIDE",IF(G402=H402,"INCONGRUENTE",IF(H402=7,"COINCIDE","DISTINTO")))</f>
        <v>COINCIDE</v>
      </c>
    </row>
    <row r="403" spans="1:9" ht="15.75" customHeight="1">
      <c r="A403" s="6">
        <v>700070100</v>
      </c>
      <c r="B403" s="6" t="s">
        <v>47</v>
      </c>
      <c r="C403" s="6" t="s">
        <v>9</v>
      </c>
      <c r="D403" s="6">
        <v>159</v>
      </c>
      <c r="E403" s="6">
        <f t="shared" si="33"/>
        <v>6</v>
      </c>
      <c r="F403" s="6">
        <v>196</v>
      </c>
      <c r="G403" s="6">
        <f t="shared" si="34"/>
        <v>6</v>
      </c>
      <c r="H403" s="6">
        <v>6</v>
      </c>
      <c r="I403" s="6" t="str">
        <f>IF(AVERAGE(E403,G403)=H403,"COINCIDE",IF(G403=H403,"INCONGRUENTE",IF(H403=7,"COINCIDE","DISTINTO")))</f>
        <v>COINCIDE</v>
      </c>
    </row>
    <row r="404" spans="1:9" ht="15.75" customHeight="1">
      <c r="A404" s="5">
        <v>700051400</v>
      </c>
      <c r="B404" s="5" t="s">
        <v>48</v>
      </c>
      <c r="C404" s="5" t="s">
        <v>13</v>
      </c>
      <c r="D404" s="5">
        <v>0.28599999999999998</v>
      </c>
      <c r="E404" s="5">
        <f t="shared" ref="E404:E405" si="35">IF(D404&lt;=2,3,IF(D404&lt;=10,5,6))</f>
        <v>3</v>
      </c>
      <c r="F404" s="5">
        <v>0.41199999999999998</v>
      </c>
      <c r="G404" s="5">
        <f t="shared" ref="G404:G405" si="36">IF(F404&lt;=2,3,IF(F404&lt;=10,5,6))</f>
        <v>3</v>
      </c>
      <c r="H404" s="5">
        <v>3</v>
      </c>
      <c r="I404" s="5" t="str">
        <f>IF(AVERAGE(E404,G404)=H404,"COINCIDE",IF(G404=H404,"INCONGRUENTE",IF(H404=7,"COINCIDE","DISTINTO")))</f>
        <v>COINCIDE</v>
      </c>
    </row>
    <row r="405" spans="1:9" ht="15.75" customHeight="1">
      <c r="A405" s="42">
        <v>700087600</v>
      </c>
      <c r="B405" s="42" t="s">
        <v>49</v>
      </c>
      <c r="C405" s="42" t="s">
        <v>13</v>
      </c>
      <c r="D405" s="42">
        <v>0.73299999999999998</v>
      </c>
      <c r="E405" s="42">
        <f t="shared" si="35"/>
        <v>3</v>
      </c>
      <c r="F405" s="42">
        <v>1</v>
      </c>
      <c r="G405" s="42">
        <f t="shared" si="36"/>
        <v>3</v>
      </c>
      <c r="H405" s="42">
        <v>3</v>
      </c>
      <c r="I405" s="5" t="str">
        <f>IF(AVERAGE(E405,G405)=H405,"COINCIDE",IF(G405=H405,"INCONGRUENTE",IF(H405=7,"COINCIDE","DISTINTO")))</f>
        <v>COINCIDE</v>
      </c>
    </row>
    <row r="406" spans="1:9" ht="15.75" customHeight="1">
      <c r="A406" s="11">
        <v>700021500</v>
      </c>
      <c r="B406" s="11" t="s">
        <v>50</v>
      </c>
      <c r="C406" s="11" t="s">
        <v>9</v>
      </c>
      <c r="D406" s="11">
        <v>19.5</v>
      </c>
      <c r="E406" s="11">
        <f t="shared" ref="E406:E440" si="37">IF(D406&lt;=4,1,IF(D406&lt;=10,2,IF(D406&lt;=20,3,IF(D406&lt;=40,4,IF(D406&lt;=80,5,6)))))</f>
        <v>3</v>
      </c>
      <c r="F406" s="11">
        <v>24</v>
      </c>
      <c r="G406" s="11">
        <f t="shared" ref="G406:G440" si="38">IF(F406&lt;=4,1,IF(F406&lt;=10,2,IF(F406&lt;=20,3,IF(F406&lt;=40,4,IF(F406&lt;=80,5,6)))))</f>
        <v>4</v>
      </c>
      <c r="H406" s="11">
        <v>4</v>
      </c>
      <c r="I406" s="11" t="str">
        <f>IF(AVERAGE(E406,G406)=H406,"COINCIDE",IF(G406=H406,"INCONGRUENTE","DISTINTO"))</f>
        <v>INCONGRUENTE</v>
      </c>
    </row>
    <row r="407" spans="1:9" ht="15.75" customHeight="1">
      <c r="A407" s="9">
        <v>700020500</v>
      </c>
      <c r="B407" s="9" t="s">
        <v>51</v>
      </c>
      <c r="C407" s="9" t="s">
        <v>9</v>
      </c>
      <c r="D407" s="9">
        <v>13.6</v>
      </c>
      <c r="E407" s="9">
        <f t="shared" si="37"/>
        <v>3</v>
      </c>
      <c r="F407" s="9">
        <v>18</v>
      </c>
      <c r="G407" s="9">
        <f t="shared" si="38"/>
        <v>3</v>
      </c>
      <c r="H407" s="9">
        <v>4</v>
      </c>
      <c r="I407" s="9" t="str">
        <f>IF(AVERAGE(E407,G407)=H407,"COINCIDE",IF(G407=H407,"INCONGRUENTE",IF(H407=7,"COINCIDE","DISTINTO")))</f>
        <v>DISTINTO</v>
      </c>
    </row>
    <row r="408" spans="1:9" ht="15.75" customHeight="1">
      <c r="A408" s="5">
        <v>700083500</v>
      </c>
      <c r="B408" s="5" t="s">
        <v>52</v>
      </c>
      <c r="C408" s="5" t="s">
        <v>9</v>
      </c>
      <c r="D408" s="5">
        <v>6.1</v>
      </c>
      <c r="E408" s="5">
        <f t="shared" si="37"/>
        <v>2</v>
      </c>
      <c r="F408" s="5">
        <v>7</v>
      </c>
      <c r="G408" s="5">
        <f t="shared" si="38"/>
        <v>2</v>
      </c>
      <c r="H408" s="5">
        <v>2</v>
      </c>
      <c r="I408" s="5" t="str">
        <f>IF(AVERAGE(E408,G408)=H408,"COINCIDE",IF(G408=H408,"INCONGRUENTE","DISTINTO"))</f>
        <v>COINCIDE</v>
      </c>
    </row>
    <row r="409" spans="1:9" ht="15.75" customHeight="1">
      <c r="A409" s="9">
        <v>700083400</v>
      </c>
      <c r="B409" s="9" t="s">
        <v>53</v>
      </c>
      <c r="C409" s="9" t="s">
        <v>9</v>
      </c>
      <c r="D409" s="9">
        <v>8.11</v>
      </c>
      <c r="E409" s="9">
        <f t="shared" si="37"/>
        <v>2</v>
      </c>
      <c r="F409" s="9">
        <v>10</v>
      </c>
      <c r="G409" s="9">
        <f t="shared" si="38"/>
        <v>2</v>
      </c>
      <c r="H409" s="9">
        <v>3</v>
      </c>
      <c r="I409" s="9" t="str">
        <f>IF(AVERAGE(E409,G409)=H409,"COINCIDE",IF(G409=H409,"INCONGRUENTE",IF(H409=7,"COINCIDE","DISTINTO")))</f>
        <v>DISTINTO</v>
      </c>
    </row>
    <row r="410" spans="1:9" ht="14.25" customHeight="1">
      <c r="A410" s="39">
        <v>700112800</v>
      </c>
      <c r="B410" s="11" t="s">
        <v>54</v>
      </c>
      <c r="C410" s="11" t="s">
        <v>9</v>
      </c>
      <c r="D410" s="39">
        <v>17.8</v>
      </c>
      <c r="E410" s="35">
        <f t="shared" si="37"/>
        <v>3</v>
      </c>
      <c r="F410" s="11">
        <v>21</v>
      </c>
      <c r="G410" s="35">
        <f t="shared" si="38"/>
        <v>4</v>
      </c>
      <c r="H410" s="11">
        <v>4</v>
      </c>
      <c r="I410" s="35" t="str">
        <f>IF(AVERAGE(E410,G410)=H410,"COINCIDE",IF(G410=H410,"INCONGRUENTE","DISTINTO"))</f>
        <v>INCONGRUENTE</v>
      </c>
    </row>
    <row r="411" spans="1:9" ht="15.75" customHeight="1">
      <c r="A411" s="9">
        <v>700086800</v>
      </c>
      <c r="B411" s="9" t="s">
        <v>55</v>
      </c>
      <c r="C411" s="9" t="s">
        <v>9</v>
      </c>
      <c r="D411" s="9">
        <v>14.6</v>
      </c>
      <c r="E411" s="9">
        <f t="shared" si="37"/>
        <v>3</v>
      </c>
      <c r="F411" s="9">
        <v>19</v>
      </c>
      <c r="G411" s="9">
        <f t="shared" si="38"/>
        <v>3</v>
      </c>
      <c r="H411" s="9">
        <v>4</v>
      </c>
      <c r="I411" s="9" t="str">
        <f>IF(AVERAGE(E411,G411)=H411,"COINCIDE",IF(G411=H411,"INCONGRUENTE",IF(H411=7,"COINCIDE","DISTINTO")))</f>
        <v>DISTINTO</v>
      </c>
    </row>
    <row r="412" spans="1:9" ht="15.75" customHeight="1">
      <c r="A412" s="5">
        <v>700005300</v>
      </c>
      <c r="B412" s="5" t="s">
        <v>56</v>
      </c>
      <c r="C412" s="5" t="s">
        <v>9</v>
      </c>
      <c r="D412" s="5">
        <v>5.07</v>
      </c>
      <c r="E412" s="5">
        <f t="shared" si="37"/>
        <v>2</v>
      </c>
      <c r="F412" s="5">
        <v>7</v>
      </c>
      <c r="G412" s="5">
        <f t="shared" si="38"/>
        <v>2</v>
      </c>
      <c r="H412" s="5">
        <v>2</v>
      </c>
      <c r="I412" s="5" t="str">
        <f>IF(AVERAGE(E412,G412)=H412,"COINCIDE",IF(G412=H412,"INCONGRUENTE","DISTINTO"))</f>
        <v>COINCIDE</v>
      </c>
    </row>
    <row r="413" spans="1:9" ht="15.75" customHeight="1">
      <c r="A413" s="9">
        <v>700033300</v>
      </c>
      <c r="B413" s="9" t="s">
        <v>57</v>
      </c>
      <c r="C413" s="9" t="s">
        <v>9</v>
      </c>
      <c r="D413" s="9">
        <v>2.76</v>
      </c>
      <c r="E413" s="9">
        <f t="shared" si="37"/>
        <v>1</v>
      </c>
      <c r="F413" s="9">
        <v>4</v>
      </c>
      <c r="G413" s="9">
        <f t="shared" si="38"/>
        <v>1</v>
      </c>
      <c r="H413" s="9">
        <v>2</v>
      </c>
      <c r="I413" s="9" t="str">
        <f>IF(AVERAGE(E413,G413)=H413,"COINCIDE",IF(G413=H413,"INCONGRUENTE",IF(H413=7,"COINCIDE","DISTINTO")))</f>
        <v>DISTINTO</v>
      </c>
    </row>
    <row r="414" spans="1:9" ht="15" customHeight="1">
      <c r="A414" s="5">
        <v>700097100</v>
      </c>
      <c r="B414" s="5" t="s">
        <v>58</v>
      </c>
      <c r="C414" s="5" t="s">
        <v>9</v>
      </c>
      <c r="D414" s="5">
        <v>5.52</v>
      </c>
      <c r="E414" s="5">
        <f t="shared" si="37"/>
        <v>2</v>
      </c>
      <c r="F414" s="5">
        <v>6</v>
      </c>
      <c r="G414" s="5">
        <f t="shared" si="38"/>
        <v>2</v>
      </c>
      <c r="H414" s="5">
        <v>2</v>
      </c>
      <c r="I414" s="5" t="str">
        <f>IF(AVERAGE(E414,G414)=H414,"COINCIDE",IF(G414=H414,"INCONGRUENTE","DISTINTO"))</f>
        <v>COINCIDE</v>
      </c>
    </row>
    <row r="415" spans="1:9" ht="15.75" customHeight="1">
      <c r="A415" s="11">
        <v>700105900</v>
      </c>
      <c r="B415" s="11" t="s">
        <v>59</v>
      </c>
      <c r="C415" s="11" t="s">
        <v>9</v>
      </c>
      <c r="D415" s="11">
        <v>7.83</v>
      </c>
      <c r="E415" s="35">
        <f t="shared" si="37"/>
        <v>2</v>
      </c>
      <c r="F415" s="11">
        <v>11</v>
      </c>
      <c r="G415" s="35">
        <f t="shared" si="38"/>
        <v>3</v>
      </c>
      <c r="H415" s="11">
        <v>3</v>
      </c>
      <c r="I415" s="35" t="str">
        <f>IF(AVERAGE(E415,G415)=H415,"COINCIDE",IF(G415=H415,"INCONGRUENTE","DISTINTO"))</f>
        <v>INCONGRUENTE</v>
      </c>
    </row>
    <row r="416" spans="1:9" ht="15.75" customHeight="1">
      <c r="A416" s="9">
        <v>700024600</v>
      </c>
      <c r="B416" s="9" t="s">
        <v>60</v>
      </c>
      <c r="C416" s="9" t="s">
        <v>9</v>
      </c>
      <c r="D416" s="9">
        <v>5.34</v>
      </c>
      <c r="E416" s="9">
        <f t="shared" si="37"/>
        <v>2</v>
      </c>
      <c r="F416" s="9">
        <v>6</v>
      </c>
      <c r="G416" s="9">
        <f t="shared" si="38"/>
        <v>2</v>
      </c>
      <c r="H416" s="9">
        <v>3</v>
      </c>
      <c r="I416" s="9" t="str">
        <f>IF(AVERAGE(E416,G416)=H416,"COINCIDE",IF(G416=H416,"INCONGRUENTE",IF(H416=7,"COINCIDE","DISTINTO")))</f>
        <v>DISTINTO</v>
      </c>
    </row>
    <row r="417" spans="1:9" ht="15.75" customHeight="1">
      <c r="A417" s="12">
        <v>700089500</v>
      </c>
      <c r="B417" s="5" t="s">
        <v>61</v>
      </c>
      <c r="C417" s="5" t="s">
        <v>9</v>
      </c>
      <c r="D417" s="12">
        <v>5.68</v>
      </c>
      <c r="E417" s="5">
        <f t="shared" si="37"/>
        <v>2</v>
      </c>
      <c r="F417" s="5">
        <v>7</v>
      </c>
      <c r="G417" s="5">
        <f t="shared" si="38"/>
        <v>2</v>
      </c>
      <c r="H417" s="5">
        <v>2</v>
      </c>
      <c r="I417" s="5" t="str">
        <f>IF(AVERAGE(E417,G417)=H417,"COINCIDE",IF(G417=H417,"INCONGRUENTE","DISTINTO"))</f>
        <v>COINCIDE</v>
      </c>
    </row>
    <row r="418" spans="1:9" ht="15.75" customHeight="1">
      <c r="A418" s="5">
        <v>700030400</v>
      </c>
      <c r="B418" s="5" t="s">
        <v>62</v>
      </c>
      <c r="C418" s="5" t="s">
        <v>9</v>
      </c>
      <c r="D418" s="5">
        <v>4.6900000000000004</v>
      </c>
      <c r="E418" s="5">
        <f t="shared" si="37"/>
        <v>2</v>
      </c>
      <c r="F418" s="5">
        <v>5</v>
      </c>
      <c r="G418" s="5">
        <f t="shared" si="38"/>
        <v>2</v>
      </c>
      <c r="H418" s="5">
        <v>2</v>
      </c>
      <c r="I418" s="5" t="str">
        <f>IF(AVERAGE(E418,G418)=H418,"COINCIDE",IF(G418=H418,"INCONGRUENTE","DISTINTO"))</f>
        <v>COINCIDE</v>
      </c>
    </row>
    <row r="419" spans="1:9" ht="15.75" customHeight="1">
      <c r="A419" s="9">
        <v>700001400</v>
      </c>
      <c r="B419" s="9" t="s">
        <v>63</v>
      </c>
      <c r="C419" s="9" t="s">
        <v>9</v>
      </c>
      <c r="D419" s="9">
        <v>9.86</v>
      </c>
      <c r="E419" s="9">
        <f t="shared" si="37"/>
        <v>2</v>
      </c>
      <c r="F419" s="9">
        <v>10</v>
      </c>
      <c r="G419" s="9">
        <f t="shared" si="38"/>
        <v>2</v>
      </c>
      <c r="H419" s="9">
        <v>3</v>
      </c>
      <c r="I419" s="9" t="str">
        <f>IF(AVERAGE(E419,G419)=H419,"COINCIDE",IF(G419=H419,"INCONGRUENTE",IF(H419=7,"COINCIDE","DISTINTO")))</f>
        <v>DISTINTO</v>
      </c>
    </row>
    <row r="420" spans="1:9" ht="15.75" customHeight="1">
      <c r="A420" s="9">
        <v>700086700</v>
      </c>
      <c r="B420" s="9" t="s">
        <v>64</v>
      </c>
      <c r="C420" s="9" t="s">
        <v>9</v>
      </c>
      <c r="D420" s="9">
        <v>9.0399999999999991</v>
      </c>
      <c r="E420" s="9">
        <f t="shared" si="37"/>
        <v>2</v>
      </c>
      <c r="F420" s="9">
        <v>10</v>
      </c>
      <c r="G420" s="9">
        <f t="shared" si="38"/>
        <v>2</v>
      </c>
      <c r="H420" s="9">
        <v>3</v>
      </c>
      <c r="I420" s="9" t="str">
        <f>IF(AVERAGE(E420,G420)=H420,"COINCIDE",IF(G420=H420,"INCONGRUENTE",IF(H420=7,"COINCIDE","DISTINTO")))</f>
        <v>DISTINTO</v>
      </c>
    </row>
    <row r="421" spans="1:9" ht="15.75" customHeight="1">
      <c r="A421" s="5">
        <v>700080000</v>
      </c>
      <c r="B421" s="5" t="s">
        <v>65</v>
      </c>
      <c r="C421" s="5" t="s">
        <v>9</v>
      </c>
      <c r="D421" s="5">
        <v>7.18</v>
      </c>
      <c r="E421" s="5">
        <f t="shared" si="37"/>
        <v>2</v>
      </c>
      <c r="F421" s="5">
        <v>7</v>
      </c>
      <c r="G421" s="5">
        <f t="shared" si="38"/>
        <v>2</v>
      </c>
      <c r="H421" s="5">
        <v>2</v>
      </c>
      <c r="I421" s="5" t="str">
        <f>IF(AVERAGE(E421,G421)=H421,"COINCIDE",IF(G421=H421,"INCONGRUENTE","DISTINTO"))</f>
        <v>COINCIDE</v>
      </c>
    </row>
    <row r="422" spans="1:9" ht="15.75" customHeight="1">
      <c r="A422" s="5">
        <v>700088900</v>
      </c>
      <c r="B422" s="5" t="s">
        <v>66</v>
      </c>
      <c r="C422" s="5" t="s">
        <v>9</v>
      </c>
      <c r="D422" s="5">
        <v>6.27</v>
      </c>
      <c r="E422" s="5">
        <f t="shared" si="37"/>
        <v>2</v>
      </c>
      <c r="F422" s="5">
        <v>7</v>
      </c>
      <c r="G422" s="5">
        <f t="shared" si="38"/>
        <v>2</v>
      </c>
      <c r="H422" s="5">
        <v>2</v>
      </c>
      <c r="I422" s="5" t="str">
        <f>IF(AVERAGE(E422,G422)=H422,"COINCIDE",IF(G422=H422,"INCONGRUENTE","DISTINTO"))</f>
        <v>COINCIDE</v>
      </c>
    </row>
    <row r="423" spans="1:9" ht="15.75" customHeight="1">
      <c r="A423" s="9">
        <v>700090100</v>
      </c>
      <c r="B423" s="9" t="s">
        <v>67</v>
      </c>
      <c r="C423" s="9" t="s">
        <v>9</v>
      </c>
      <c r="D423" s="9">
        <v>9.59</v>
      </c>
      <c r="E423" s="9">
        <f t="shared" si="37"/>
        <v>2</v>
      </c>
      <c r="F423" s="9">
        <v>10</v>
      </c>
      <c r="G423" s="9">
        <f t="shared" si="38"/>
        <v>2</v>
      </c>
      <c r="H423" s="9">
        <v>3</v>
      </c>
      <c r="I423" s="9" t="str">
        <f>IF(AVERAGE(E423,G423)=H423,"COINCIDE",IF(G423=H423,"INCONGRUENTE",IF(H423=7,"COINCIDE","DISTINTO")))</f>
        <v>DISTINTO</v>
      </c>
    </row>
    <row r="424" spans="1:9" ht="15.75" customHeight="1">
      <c r="A424" s="11">
        <v>700114400</v>
      </c>
      <c r="B424" s="11" t="s">
        <v>68</v>
      </c>
      <c r="C424" s="11" t="s">
        <v>9</v>
      </c>
      <c r="D424" s="11">
        <v>9.44</v>
      </c>
      <c r="E424" s="11">
        <f t="shared" si="37"/>
        <v>2</v>
      </c>
      <c r="F424" s="11">
        <v>11</v>
      </c>
      <c r="G424" s="11">
        <f t="shared" si="38"/>
        <v>3</v>
      </c>
      <c r="H424" s="11">
        <v>2</v>
      </c>
      <c r="I424" s="11" t="s">
        <v>69</v>
      </c>
    </row>
    <row r="425" spans="1:9" ht="15.75" customHeight="1">
      <c r="A425" s="11">
        <v>700042800</v>
      </c>
      <c r="B425" s="11" t="s">
        <v>70</v>
      </c>
      <c r="C425" s="11" t="s">
        <v>9</v>
      </c>
      <c r="D425" s="11">
        <v>18.3</v>
      </c>
      <c r="E425" s="35">
        <f t="shared" si="37"/>
        <v>3</v>
      </c>
      <c r="F425" s="11">
        <v>22</v>
      </c>
      <c r="G425" s="35">
        <f t="shared" si="38"/>
        <v>4</v>
      </c>
      <c r="H425" s="11">
        <v>4</v>
      </c>
      <c r="I425" s="35" t="str">
        <f>IF(AVERAGE(E425,G425)=H425,"COINCIDE",IF(G425=H425,"INCONGRUENTE","DISTINTO"))</f>
        <v>INCONGRUENTE</v>
      </c>
    </row>
    <row r="426" spans="1:9" ht="15.75" customHeight="1">
      <c r="A426" s="18">
        <v>700088600</v>
      </c>
      <c r="B426" s="9" t="s">
        <v>71</v>
      </c>
      <c r="C426" s="9" t="s">
        <v>9</v>
      </c>
      <c r="D426" s="9">
        <v>48.3</v>
      </c>
      <c r="E426" s="9">
        <f t="shared" si="37"/>
        <v>5</v>
      </c>
      <c r="F426" s="9">
        <v>76</v>
      </c>
      <c r="G426" s="9">
        <f t="shared" si="38"/>
        <v>5</v>
      </c>
      <c r="H426" s="9">
        <v>6</v>
      </c>
      <c r="I426" s="9" t="str">
        <f>IF(AVERAGE(E426,G426)=H426,"COINCIDE",IF(G426=H426,"INCONGRUENTE",IF(H426=7,"COINCIDE","DISTINTO")))</f>
        <v>DISTINTO</v>
      </c>
    </row>
    <row r="427" spans="1:9" ht="15.75" customHeight="1">
      <c r="A427" s="5">
        <v>700048200</v>
      </c>
      <c r="B427" s="5" t="s">
        <v>72</v>
      </c>
      <c r="C427" s="5" t="s">
        <v>9</v>
      </c>
      <c r="D427" s="5">
        <v>40.700000000000003</v>
      </c>
      <c r="E427" s="5">
        <f t="shared" si="37"/>
        <v>5</v>
      </c>
      <c r="F427" s="5">
        <v>51</v>
      </c>
      <c r="G427" s="5">
        <f t="shared" si="38"/>
        <v>5</v>
      </c>
      <c r="H427" s="5">
        <v>5</v>
      </c>
      <c r="I427" s="5" t="str">
        <f>IF(AVERAGE(E427,G427)=H427,"COINCIDE",IF(G427=H427,"INCONGRUENTE","DISTINTO"))</f>
        <v>COINCIDE</v>
      </c>
    </row>
    <row r="428" spans="1:9" ht="15.75" customHeight="1">
      <c r="A428" s="9">
        <v>700084000</v>
      </c>
      <c r="B428" s="9" t="s">
        <v>73</v>
      </c>
      <c r="C428" s="9" t="s">
        <v>9</v>
      </c>
      <c r="D428" s="9">
        <v>40.799999999999997</v>
      </c>
      <c r="E428" s="9">
        <f t="shared" si="37"/>
        <v>5</v>
      </c>
      <c r="F428" s="9">
        <v>75</v>
      </c>
      <c r="G428" s="9">
        <f t="shared" si="38"/>
        <v>5</v>
      </c>
      <c r="H428" s="9">
        <v>6</v>
      </c>
      <c r="I428" s="9" t="str">
        <f>IF(AVERAGE(E428,G428)=H428,"COINCIDE",IF(G428=H428,"INCONGRUENTE",IF(H428=7,"COINCIDE","DISTINTO")))</f>
        <v>DISTINTO</v>
      </c>
    </row>
    <row r="429" spans="1:9" ht="15.75" customHeight="1">
      <c r="A429" s="5">
        <v>700000500</v>
      </c>
      <c r="B429" s="5" t="s">
        <v>74</v>
      </c>
      <c r="C429" s="5" t="s">
        <v>9</v>
      </c>
      <c r="D429" s="5">
        <v>5.62</v>
      </c>
      <c r="E429" s="5">
        <f t="shared" si="37"/>
        <v>2</v>
      </c>
      <c r="F429" s="5">
        <v>8</v>
      </c>
      <c r="G429" s="5">
        <f t="shared" si="38"/>
        <v>2</v>
      </c>
      <c r="H429" s="5">
        <v>2</v>
      </c>
      <c r="I429" s="5" t="str">
        <f>IF(AVERAGE(E429,G429)=H429,"COINCIDE",IF(G429=H429,"INCONGRUENTE","DISTINTO"))</f>
        <v>COINCIDE</v>
      </c>
    </row>
    <row r="430" spans="1:9" ht="15.75" customHeight="1">
      <c r="A430" s="9">
        <v>700026000</v>
      </c>
      <c r="B430" s="9" t="s">
        <v>75</v>
      </c>
      <c r="C430" s="9" t="s">
        <v>9</v>
      </c>
      <c r="D430" s="9">
        <v>6.53</v>
      </c>
      <c r="E430" s="9">
        <f t="shared" si="37"/>
        <v>2</v>
      </c>
      <c r="F430" s="9">
        <v>8</v>
      </c>
      <c r="G430" s="9">
        <f t="shared" si="38"/>
        <v>2</v>
      </c>
      <c r="H430" s="9">
        <v>3</v>
      </c>
      <c r="I430" s="9" t="str">
        <f>IF(AVERAGE(E430,G430)=H430,"COINCIDE",IF(G430=H430,"INCONGRUENTE",IF(H430=7,"COINCIDE","DISTINTO")))</f>
        <v>DISTINTO</v>
      </c>
    </row>
    <row r="431" spans="1:9" ht="15.75" customHeight="1">
      <c r="A431" s="85">
        <v>700027300</v>
      </c>
      <c r="B431" s="85" t="s">
        <v>76</v>
      </c>
      <c r="C431" s="85" t="s">
        <v>9</v>
      </c>
      <c r="D431" s="85">
        <v>2.38</v>
      </c>
      <c r="E431" s="85">
        <f t="shared" si="37"/>
        <v>1</v>
      </c>
      <c r="F431" s="86">
        <v>5</v>
      </c>
      <c r="G431" s="85">
        <f t="shared" si="38"/>
        <v>2</v>
      </c>
      <c r="H431" s="85">
        <v>1</v>
      </c>
      <c r="I431" s="85" t="str">
        <f>IF(AVERAGE(E431,G431)=H431,"COINCIDE",IF(G431=H431,"INCONGRUENTE",IF(H431=7,"COINCIDE","DISTINTO")))</f>
        <v>DISTINTO</v>
      </c>
    </row>
    <row r="432" spans="1:9" ht="15.75" customHeight="1">
      <c r="A432" s="5">
        <v>700083000</v>
      </c>
      <c r="B432" s="5" t="s">
        <v>77</v>
      </c>
      <c r="C432" s="5" t="s">
        <v>9</v>
      </c>
      <c r="D432" s="12">
        <v>2.93</v>
      </c>
      <c r="E432" s="5">
        <f t="shared" si="37"/>
        <v>1</v>
      </c>
      <c r="F432" s="5">
        <v>4</v>
      </c>
      <c r="G432" s="5">
        <f t="shared" si="38"/>
        <v>1</v>
      </c>
      <c r="H432" s="5">
        <v>1</v>
      </c>
      <c r="I432" s="5" t="str">
        <f>IF(AVERAGE(E432,G432)=H432,"COINCIDE",IF(G432=H432,"INCONGRUENTE","DISTINTO"))</f>
        <v>COINCIDE</v>
      </c>
    </row>
    <row r="433" spans="1:9" ht="15.75" customHeight="1">
      <c r="A433" s="12">
        <v>700115000</v>
      </c>
      <c r="B433" s="5" t="s">
        <v>78</v>
      </c>
      <c r="C433" s="5" t="s">
        <v>9</v>
      </c>
      <c r="D433" s="5">
        <v>22.1</v>
      </c>
      <c r="E433" s="5">
        <f t="shared" si="37"/>
        <v>4</v>
      </c>
      <c r="F433" s="5">
        <v>33</v>
      </c>
      <c r="G433" s="5">
        <f t="shared" si="38"/>
        <v>4</v>
      </c>
      <c r="H433" s="5">
        <v>4</v>
      </c>
      <c r="I433" s="5" t="str">
        <f>IF(AVERAGE(E433,G433)=H433,"COINCIDE",IF(G433=H433,"INCONGRUENTE","DISTINTO"))</f>
        <v>COINCIDE</v>
      </c>
    </row>
    <row r="434" spans="1:9" ht="14.25" customHeight="1">
      <c r="A434" s="5">
        <v>700057700</v>
      </c>
      <c r="B434" s="5" t="s">
        <v>79</v>
      </c>
      <c r="C434" s="5" t="s">
        <v>9</v>
      </c>
      <c r="D434" s="5">
        <v>41.1</v>
      </c>
      <c r="E434" s="5">
        <f t="shared" si="37"/>
        <v>5</v>
      </c>
      <c r="F434" s="5">
        <v>52</v>
      </c>
      <c r="G434" s="5">
        <f t="shared" si="38"/>
        <v>5</v>
      </c>
      <c r="H434" s="5">
        <v>5</v>
      </c>
      <c r="I434" s="5" t="str">
        <f>IF(AVERAGE(E434,G434)=H434,"COINCIDE",IF(G434=H434,"INCONGRUENTE","DISTINTO"))</f>
        <v>COINCIDE</v>
      </c>
    </row>
    <row r="435" spans="1:9" ht="14.25" customHeight="1">
      <c r="A435" s="11">
        <v>700057900</v>
      </c>
      <c r="B435" s="11" t="s">
        <v>80</v>
      </c>
      <c r="C435" s="11" t="s">
        <v>9</v>
      </c>
      <c r="D435" s="11">
        <v>36.700000000000003</v>
      </c>
      <c r="E435" s="11">
        <f t="shared" si="37"/>
        <v>4</v>
      </c>
      <c r="F435" s="11">
        <v>46</v>
      </c>
      <c r="G435" s="11">
        <f t="shared" si="38"/>
        <v>5</v>
      </c>
      <c r="H435" s="11">
        <v>5</v>
      </c>
      <c r="I435" s="11" t="str">
        <f>IF(AVERAGE(E435,G435)=H435,"COINCIDE",IF(G435=H435,"INCONGRUENTE","DISTINTO"))</f>
        <v>INCONGRUENTE</v>
      </c>
    </row>
    <row r="436" spans="1:9" ht="15.75" customHeight="1">
      <c r="A436" s="9">
        <v>700093100</v>
      </c>
      <c r="B436" s="9" t="s">
        <v>81</v>
      </c>
      <c r="C436" s="9" t="s">
        <v>9</v>
      </c>
      <c r="D436" s="9">
        <v>29.7</v>
      </c>
      <c r="E436" s="9">
        <f t="shared" si="37"/>
        <v>4</v>
      </c>
      <c r="F436" s="9">
        <v>36</v>
      </c>
      <c r="G436" s="9">
        <f t="shared" si="38"/>
        <v>4</v>
      </c>
      <c r="H436" s="9">
        <v>5</v>
      </c>
      <c r="I436" s="9" t="str">
        <f>IF(AVERAGE(E436,G436)=H436,"COINCIDE",IF(G436=H436,"INCONGRUENTE",IF(H436=7,"COINCIDE","DISTINTO")))</f>
        <v>DISTINTO</v>
      </c>
    </row>
    <row r="437" spans="1:9" ht="15.75" customHeight="1">
      <c r="A437" s="9">
        <v>700095600</v>
      </c>
      <c r="B437" s="9" t="s">
        <v>82</v>
      </c>
      <c r="C437" s="9" t="s">
        <v>9</v>
      </c>
      <c r="D437" s="9">
        <v>30.2</v>
      </c>
      <c r="E437" s="9">
        <f t="shared" si="37"/>
        <v>4</v>
      </c>
      <c r="F437" s="9">
        <v>37</v>
      </c>
      <c r="G437" s="9">
        <f t="shared" si="38"/>
        <v>4</v>
      </c>
      <c r="H437" s="9">
        <v>5</v>
      </c>
      <c r="I437" s="9" t="str">
        <f>IF(AVERAGE(E437,G437)=H437,"COINCIDE",IF(G437=H437,"INCONGRUENTE",IF(H437=7,"COINCIDE","DISTINTO")))</f>
        <v>DISTINTO</v>
      </c>
    </row>
    <row r="438" spans="1:9" ht="15.75" customHeight="1">
      <c r="A438" s="5">
        <v>700085800</v>
      </c>
      <c r="B438" s="5" t="s">
        <v>83</v>
      </c>
      <c r="C438" s="5" t="s">
        <v>9</v>
      </c>
      <c r="D438" s="5">
        <v>144</v>
      </c>
      <c r="E438" s="5">
        <f t="shared" si="37"/>
        <v>6</v>
      </c>
      <c r="F438" s="5">
        <v>250</v>
      </c>
      <c r="G438" s="5">
        <f t="shared" si="38"/>
        <v>6</v>
      </c>
      <c r="H438" s="5">
        <v>6</v>
      </c>
      <c r="I438" s="5" t="str">
        <f>IF(AVERAGE(E438,G438)=H438,"COINCIDE",IF(G438=H438,"INCONGRUENTE","DISTINTO"))</f>
        <v>COINCIDE</v>
      </c>
    </row>
    <row r="439" spans="1:9" ht="15.75" customHeight="1">
      <c r="A439" s="11">
        <v>700075100</v>
      </c>
      <c r="B439" s="11" t="s">
        <v>84</v>
      </c>
      <c r="C439" s="11" t="s">
        <v>9</v>
      </c>
      <c r="D439" s="11">
        <v>18</v>
      </c>
      <c r="E439" s="35">
        <f t="shared" si="37"/>
        <v>3</v>
      </c>
      <c r="F439" s="11">
        <v>24</v>
      </c>
      <c r="G439" s="35">
        <f t="shared" si="38"/>
        <v>4</v>
      </c>
      <c r="H439" s="11">
        <v>4</v>
      </c>
      <c r="I439" s="35" t="str">
        <f>IF(AVERAGE(E439,G439)=H439,"COINCIDE",IF(G439=H439,"INCONGRUENTE","DISTINTO"))</f>
        <v>INCONGRUENTE</v>
      </c>
    </row>
    <row r="440" spans="1:9" ht="10.8" customHeight="1">
      <c r="A440" s="11">
        <v>700029500</v>
      </c>
      <c r="B440" s="11" t="s">
        <v>85</v>
      </c>
      <c r="C440" s="11" t="s">
        <v>9</v>
      </c>
      <c r="D440" s="11">
        <v>19.600000000000001</v>
      </c>
      <c r="E440" s="35">
        <f t="shared" si="37"/>
        <v>3</v>
      </c>
      <c r="F440" s="11">
        <v>23</v>
      </c>
      <c r="G440" s="35">
        <f t="shared" si="38"/>
        <v>4</v>
      </c>
      <c r="H440" s="11">
        <v>4</v>
      </c>
      <c r="I440" s="35" t="str">
        <f>IF(AVERAGE(E440,G440)=H440,"COINCIDE",IF(G440=H440,"INCONGRUENTE","DISTINTO"))</f>
        <v>INCONGRUENTE</v>
      </c>
    </row>
  </sheetData>
  <autoFilter ref="A1:I440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tabla_edificios_radios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Olivera</cp:lastModifiedBy>
  <dcterms:created xsi:type="dcterms:W3CDTF">2025-06-09T16:23:13Z</dcterms:created>
  <dcterms:modified xsi:type="dcterms:W3CDTF">2026-02-10T23:58:53Z</dcterms:modified>
</cp:coreProperties>
</file>